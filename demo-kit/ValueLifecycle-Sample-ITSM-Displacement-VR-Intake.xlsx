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1. Track" sheetId="4" state="visible" r:id="rId4"/>
    <sheet xmlns:r="http://schemas.openxmlformats.org/officeDocument/2006/relationships" name="2. Baselines" sheetId="5" state="visible" r:id="rId5"/>
    <sheet xmlns:r="http://schemas.openxmlformats.org/officeDocument/2006/relationships" name="3. Work packages" sheetId="6" state="visible" r:id="rId6"/>
    <sheet xmlns:r="http://schemas.openxmlformats.org/officeDocument/2006/relationships" name="4. Adoption plan" sheetId="7" state="visible" r:id="rId7"/>
    <sheet xmlns:r="http://schemas.openxmlformats.org/officeDocument/2006/relationships" name="5. KPI tracker" sheetId="8" state="visible" r:id="rId8"/>
    <sheet xmlns:r="http://schemas.openxmlformats.org/officeDocument/2006/relationships" name="6. Benefits" sheetId="9" state="visible" r:id="rId9"/>
    <sheet xmlns:r="http://schemas.openxmlformats.org/officeDocument/2006/relationships" name="7. Risks &amp; issues" sheetId="10" state="visible" r:id="rId10"/>
    <sheet xmlns:r="http://schemas.openxmlformats.org/officeDocument/2006/relationships" name="8. QBR notes" sheetId="11" state="visible" r:id="rId11"/>
    <sheet xmlns:r="http://schemas.openxmlformats.org/officeDocument/2006/relationships" name="9. Lessons" sheetId="12" state="visible" r:id="rId12"/>
  </sheets>
  <definedNames>
    <definedName name="SolutionProfiles">'_Lists'!$A$2:$A$5</definedName>
    <definedName name="StudyTypes">_Lists!$B$2:$B$20</definedName>
    <definedName name="CostItemKind">'_Lists'!$C$2:$C$6</definedName>
    <definedName name="BenefitCategory">'_Lists'!$D$2:$D$9</definedName>
    <definedName name="FunctionKind">'_Lists'!$E$2:$E$3</definedName>
    <definedName name="RecommendationStatus">'_Lists'!$F$2:$F$6</definedName>
    <definedName name="YesNo">'_Lists'!$G$2:$G$3</definedName>
    <definedName name="Currencies">'_Lists'!$H$2:$H$9</definedName>
    <definedName name="KpiNames">'_Lists'!$I$2:$I$31</definedName>
    <definedName name="WorkPackageStatus">'_Lists'!$J$2:$J$5</definedName>
    <definedName name="RiskStatus">'_Lists'!$K$2:$K$5</definedName>
    <definedName name="Health">'_Lists'!$L$2:$L$4</definedName>
    <definedName name="Confidence">'_Lists'!$M$2:$M$4</definedName>
    <definedName name="Scale">'_Lists'!$N$2:$N$6</definedName>
    <definedName name="TrackOrigin">'_Lists'!$O$2:$O$3</definedName>
    <definedName name="ArtifactType">'_Lists'!$P$2:$P$6</definedName>
    <definedName name="LessonCat">'_Lists'!$Q$2:$Q$4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1E3A8A"/>
      <sz val="15"/>
    </font>
    <font>
      <name val="Calibri"/>
      <i val="1"/>
      <color rgb="FF64748B"/>
      <sz val="10"/>
    </font>
    <font>
      <name val="Calibri"/>
      <b val="1"/>
      <color rgb="FF0F172A"/>
      <sz val="11"/>
    </font>
    <font>
      <name val="Calibri"/>
      <b val="1"/>
      <color rgb="FF1E3A8A"/>
      <sz val="12"/>
    </font>
    <font>
      <name val="Calibri"/>
      <b val="1"/>
      <color rgb="FFFFFFFF"/>
      <sz val="10"/>
    </font>
    <font>
      <name val="Calibri"/>
      <b val="1"/>
      <color rgb="FF0F172A"/>
    </font>
    <font>
      <name val="Calibri"/>
      <i val="1"/>
      <color rgb="FF94A3B8"/>
      <sz val="10"/>
    </font>
    <font>
      <name val="Calibri"/>
      <color rgb="FF0F172A"/>
      <sz val="11"/>
    </font>
  </fonts>
  <fills count="5">
    <fill>
      <patternFill/>
    </fill>
    <fill>
      <patternFill patternType="gray125"/>
    </fill>
    <fill>
      <patternFill patternType="solid">
        <fgColor rgb="FF1E40AF"/>
      </patternFill>
    </fill>
    <fill>
      <patternFill patternType="solid">
        <fgColor rgb="FFFEF9C3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6" fillId="0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0" fillId="4" borderId="0" pivotButton="0" quotePrefix="0" xfId="0"/>
    <xf numFmtId="0" fontId="8" fillId="3" borderId="0" pivotButton="0" quotePrefix="0" xfId="0"/>
    <xf numFmtId="0" fontId="8" fillId="0" borderId="0" pivotButton="0" quotePrefix="0" xfId="0"/>
    <xf numFmtId="0" fontId="8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 outlineLevelRow="0"/>
  <cols>
    <col width="22" customWidth="1" min="1" max="1"/>
    <col width="92" customWidth="1" min="2" max="2"/>
  </cols>
  <sheetData>
    <row r="1">
      <c r="A1" s="1" t="inlineStr">
        <is>
          <t>Value Lifecycle · VR Intake Workbook — Read me</t>
        </is>
      </c>
    </row>
    <row r="2">
      <c r="A2" s="2" t="inlineStr">
        <is>
          <t>How to use this workbook, and how each tab maps to the Value Lifecycle Platform.</t>
        </is>
      </c>
    </row>
    <row r="5">
      <c r="A5" s="3" t="inlineStr">
        <is>
          <t>Purpose</t>
        </is>
      </c>
      <c r="B5" s="4" t="inlineStr">
        <is>
          <t>Capture what you learn in client meetings, then transcribe into the app — or import this whole file.</t>
        </is>
      </c>
    </row>
    <row r="6">
      <c r="A6" s="3" t="inlineStr">
        <is>
          <t>Colour key</t>
        </is>
      </c>
      <c r="B6" s="4" t="inlineStr">
        <is>
          <t>Yellow cells = you fill in.   Grey cells = auto-calculated (don't type over them).   Header rows = fixed.</t>
        </is>
      </c>
    </row>
    <row r="7">
      <c r="A7" s="3" t="inlineStr">
        <is>
          <t>Dropdowns</t>
        </is>
      </c>
      <c r="B7" s="4" t="inlineStr">
        <is>
          <t>Cells with a dropdown use the app's own pick-lists (solution profiles, study types, KPIs, currencies, statuses) so entries match the system.</t>
        </is>
      </c>
    </row>
    <row r="8">
      <c r="A8" s="3" t="inlineStr">
        <is>
          <t>Example row</t>
        </is>
      </c>
      <c r="B8" s="4" t="inlineStr">
        <is>
          <t>The first data row of each table is a greyed-italic EXAMPLE of the format — overwrite it or delete it.</t>
        </is>
      </c>
    </row>
    <row r="9">
      <c r="A9" s="3" t="inlineStr">
        <is>
          <t>Provenance</t>
        </is>
      </c>
      <c r="B9" s="4" t="inlineStr">
        <is>
          <t>Wherever you record a number, capture its Source / Period / Assumption / Confidence.</t>
        </is>
      </c>
    </row>
    <row r="10">
      <c r="A10" s="3" t="inlineStr">
        <is>
          <t>Importing</t>
        </is>
      </c>
      <c r="B10" s="4" t="inlineStr">
        <is>
          <t>A study/track can be loaded straight from this file:  npx tsx scripts/import-workbook.ts &lt;file&gt;.xlsx  (add --dry-run to preview).</t>
        </is>
      </c>
    </row>
    <row r="11">
      <c r="A11" s="3" t="inlineStr">
        <is>
          <t>Before you import</t>
        </is>
      </c>
      <c r="B11" s="4" t="inlineStr">
        <is>
          <t>Delete the greyed example row in each table (or add rows beneath it); keep the tab names and column headers unchanged.</t>
        </is>
      </c>
    </row>
    <row r="13">
      <c r="A13" s="5" t="inlineStr">
        <is>
          <t>Tab → App module</t>
        </is>
      </c>
    </row>
    <row r="14">
      <c r="A14" s="3" t="inlineStr">
        <is>
          <t>1. Track</t>
        </is>
      </c>
      <c r="B14" t="inlineStr">
        <is>
          <t>Realization track header (origin, objectives, planned value)</t>
        </is>
      </c>
    </row>
    <row r="15">
      <c r="A15" s="3" t="inlineStr">
        <is>
          <t>2. Baselines</t>
        </is>
      </c>
      <c r="B15" t="inlineStr">
        <is>
          <t>Validate/establish KPI baselines</t>
        </is>
      </c>
    </row>
    <row r="16">
      <c r="A16" s="3" t="inlineStr">
        <is>
          <t>3. Work packages</t>
        </is>
      </c>
      <c r="B16" t="inlineStr">
        <is>
          <t>Work packages</t>
        </is>
      </c>
    </row>
    <row r="17">
      <c r="A17" s="3" t="inlineStr">
        <is>
          <t>4. Adoption plan</t>
        </is>
      </c>
      <c r="B17" t="inlineStr">
        <is>
          <t>Adoption plan activities</t>
        </is>
      </c>
    </row>
    <row r="18">
      <c r="A18" s="3" t="inlineStr">
        <is>
          <t>5. KPI tracker</t>
        </is>
      </c>
      <c r="B18" t="inlineStr">
        <is>
          <t>KPI targets + actuals by period</t>
        </is>
      </c>
    </row>
    <row r="19">
      <c r="A19" s="3" t="inlineStr">
        <is>
          <t>6. Benefits</t>
        </is>
      </c>
      <c r="B19" t="inlineStr">
        <is>
          <t>Benefits — planned vs realized</t>
        </is>
      </c>
    </row>
    <row r="20">
      <c r="A20" s="3" t="inlineStr">
        <is>
          <t>7. Risks &amp; issues</t>
        </is>
      </c>
      <c r="B20" t="inlineStr">
        <is>
          <t>Track risk/issue register</t>
        </is>
      </c>
    </row>
    <row r="21">
      <c r="A21" s="3" t="inlineStr">
        <is>
          <t>8. QBR notes</t>
        </is>
      </c>
      <c r="B21" t="inlineStr">
        <is>
          <t>Quarterly value review notes</t>
        </is>
      </c>
    </row>
    <row r="22">
      <c r="A22" s="3" t="inlineStr">
        <is>
          <t>9. Lessons</t>
        </is>
      </c>
      <c r="B22" t="inlineStr">
        <is>
          <t>Lessons learned</t>
        </is>
      </c>
    </row>
    <row r="23">
      <c r="A23" s="3" t="inlineStr">
        <is>
          <t>Reference</t>
        </is>
      </c>
      <c r="B23" t="inlineStr">
        <is>
          <t>KPI catalogue + per-profile drivers &amp; levers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 outlineLevelRow="0"/>
  <cols>
    <col width="26" customWidth="1" min="1" max="1"/>
    <col width="40" customWidth="1" min="2" max="2"/>
    <col width="10" customWidth="1" min="3" max="3"/>
    <col width="18" customWidth="1" min="4" max="4"/>
    <col width="12" customWidth="1" min="5" max="5"/>
    <col width="16" customWidth="1" min="6" max="6"/>
  </cols>
  <sheetData>
    <row r="1">
      <c r="A1" s="1" t="inlineStr">
        <is>
          <t>Reference — KPI catalogue &amp; profile prompts</t>
        </is>
      </c>
    </row>
    <row r="2">
      <c r="A2" s="2" t="inlineStr">
        <is>
          <t>Pick-list prompts from the app. Use these to fill the dropdowns and shape the conversation.</t>
        </is>
      </c>
    </row>
    <row r="4">
      <c r="A4" s="6" t="inlineStr">
        <is>
          <t>KPI key</t>
        </is>
      </c>
      <c r="B4" s="6" t="inlineStr">
        <is>
          <t>KPI name</t>
        </is>
      </c>
      <c r="C4" s="6" t="inlineStr">
        <is>
          <t>Unit</t>
        </is>
      </c>
      <c r="D4" s="6" t="inlineStr">
        <is>
          <t>Direction</t>
        </is>
      </c>
      <c r="E4" s="6" t="inlineStr">
        <is>
          <t>Discipline</t>
        </is>
      </c>
      <c r="F4" s="6" t="inlineStr">
        <is>
          <t>Category</t>
        </is>
      </c>
    </row>
    <row r="5">
      <c r="A5" t="inlineStr">
        <is>
          <t>cost_savings</t>
        </is>
      </c>
      <c r="B5" t="inlineStr">
        <is>
          <t>Estimated / realized cost savings</t>
        </is>
      </c>
      <c r="C5" t="inlineStr">
        <is>
          <t>USD</t>
        </is>
      </c>
      <c r="D5" t="inlineStr">
        <is>
          <t>HIGHER_IS_BETTER</t>
        </is>
      </c>
      <c r="E5" t="inlineStr">
        <is>
          <t>VE</t>
        </is>
      </c>
      <c r="F5" t="inlineStr">
        <is>
          <t>COST_SAVING</t>
        </is>
      </c>
    </row>
    <row r="6">
      <c r="A6" t="inlineStr">
        <is>
          <t>roi_pct</t>
        </is>
      </c>
      <c r="B6" t="inlineStr">
        <is>
          <t>Return on investment</t>
        </is>
      </c>
      <c r="C6" t="inlineStr">
        <is>
          <t>%</t>
        </is>
      </c>
      <c r="D6" t="inlineStr">
        <is>
          <t>HIGHER_IS_BETTER</t>
        </is>
      </c>
      <c r="E6" t="inlineStr">
        <is>
          <t>VE</t>
        </is>
      </c>
      <c r="F6" t="inlineStr">
        <is>
          <t>COST_SAVING</t>
        </is>
      </c>
    </row>
    <row r="7">
      <c r="A7" t="inlineStr">
        <is>
          <t>payback_period</t>
        </is>
      </c>
      <c r="B7" t="inlineStr">
        <is>
          <t>Payback period</t>
        </is>
      </c>
      <c r="C7" t="inlineStr">
        <is>
          <t>months</t>
        </is>
      </c>
      <c r="D7" t="inlineStr">
        <is>
          <t>LOWER_IS_BETTER</t>
        </is>
      </c>
      <c r="E7" t="inlineStr">
        <is>
          <t>VE</t>
        </is>
      </c>
      <c r="F7" t="inlineStr">
        <is>
          <t>COST_SAVING</t>
        </is>
      </c>
    </row>
    <row r="8">
      <c r="A8" t="inlineStr">
        <is>
          <t>revenue_uplift</t>
        </is>
      </c>
      <c r="B8" t="inlineStr">
        <is>
          <t>Revenue uplift</t>
        </is>
      </c>
      <c r="C8" t="inlineStr">
        <is>
          <t>USD</t>
        </is>
      </c>
      <c r="D8" t="inlineStr">
        <is>
          <t>HIGHER_IS_BETTER</t>
        </is>
      </c>
      <c r="E8" t="inlineStr">
        <is>
          <t>VR</t>
        </is>
      </c>
      <c r="F8" t="inlineStr">
        <is>
          <t>REVENUE_UPLIFT</t>
        </is>
      </c>
    </row>
    <row r="9">
      <c r="A9" t="inlineStr">
        <is>
          <t>alternatives_generated</t>
        </is>
      </c>
      <c r="B9" t="inlineStr">
        <is>
          <t>Alternatives generated</t>
        </is>
      </c>
      <c r="C9" t="inlineStr">
        <is>
          <t>count</t>
        </is>
      </c>
      <c r="D9" t="inlineStr">
        <is>
          <t>HIGHER_IS_BETTER</t>
        </is>
      </c>
      <c r="E9" t="inlineStr">
        <is>
          <t>VE</t>
        </is>
      </c>
      <c r="F9" t="inlineStr">
        <is>
          <t>OTHER</t>
        </is>
      </c>
    </row>
    <row r="10">
      <c r="A10" t="inlineStr">
        <is>
          <t>recommendations_accepted</t>
        </is>
      </c>
      <c r="B10" t="inlineStr">
        <is>
          <t>Recommendations accepted</t>
        </is>
      </c>
      <c r="C10" t="inlineStr">
        <is>
          <t>count</t>
        </is>
      </c>
      <c r="D10" t="inlineStr">
        <is>
          <t>HIGHER_IS_BETTER</t>
        </is>
      </c>
      <c r="E10" t="inlineStr">
        <is>
          <t>VE</t>
        </is>
      </c>
      <c r="F10" t="inlineStr">
        <is>
          <t>OTHER</t>
        </is>
      </c>
    </row>
    <row r="11">
      <c r="A11" t="inlineStr">
        <is>
          <t>study_cycle_time</t>
        </is>
      </c>
      <c r="B11" t="inlineStr">
        <is>
          <t>Study cycle time</t>
        </is>
      </c>
      <c r="C11" t="inlineStr">
        <is>
          <t>days</t>
        </is>
      </c>
      <c r="D11" t="inlineStr">
        <is>
          <t>LOWER_IS_BETTER</t>
        </is>
      </c>
      <c r="E11" t="inlineStr">
        <is>
          <t>VE</t>
        </is>
      </c>
      <c r="F11" t="inlineStr">
        <is>
          <t>TIME_SAVING</t>
        </is>
      </c>
    </row>
    <row r="12">
      <c r="A12" t="inlineStr">
        <is>
          <t>avg_roi</t>
        </is>
      </c>
      <c r="B12" t="inlineStr">
        <is>
          <t>Average ROI per study</t>
        </is>
      </c>
      <c r="C12" t="inlineStr">
        <is>
          <t>%</t>
        </is>
      </c>
      <c r="D12" t="inlineStr">
        <is>
          <t>HIGHER_IS_BETTER</t>
        </is>
      </c>
      <c r="E12" t="inlineStr">
        <is>
          <t>VE</t>
        </is>
      </c>
      <c r="F12" t="inlineStr">
        <is>
          <t>COST_SAVING</t>
        </is>
      </c>
    </row>
    <row r="13">
      <c r="A13" t="inlineStr">
        <is>
          <t>on_time_implementation</t>
        </is>
      </c>
      <c r="B13" t="inlineStr">
        <is>
          <t>On-time implementation</t>
        </is>
      </c>
      <c r="C13" t="inlineStr">
        <is>
          <t>%</t>
        </is>
      </c>
      <c r="D13" t="inlineStr">
        <is>
          <t>HIGHER_IS_BETTER</t>
        </is>
      </c>
      <c r="E13" t="inlineStr">
        <is>
          <t>VR</t>
        </is>
      </c>
      <c r="F13" t="inlineStr">
        <is>
          <t>SCHEDULE</t>
        </is>
      </c>
    </row>
    <row r="14">
      <c r="A14" t="inlineStr">
        <is>
          <t>adoption_rate</t>
        </is>
      </c>
      <c r="B14" t="inlineStr">
        <is>
          <t>Adoption rate</t>
        </is>
      </c>
      <c r="C14" t="inlineStr">
        <is>
          <t>%</t>
        </is>
      </c>
      <c r="D14" t="inlineStr">
        <is>
          <t>HIGHER_IS_BETTER</t>
        </is>
      </c>
      <c r="E14" t="inlineStr">
        <is>
          <t>VR</t>
        </is>
      </c>
      <c r="F14" t="inlineStr">
        <is>
          <t>OTHER</t>
        </is>
      </c>
    </row>
    <row r="15">
      <c r="A15" t="inlineStr">
        <is>
          <t>task_utilization</t>
        </is>
      </c>
      <c r="B15" t="inlineStr">
        <is>
          <t>Licence / capacity utilization</t>
        </is>
      </c>
      <c r="C15" t="inlineStr">
        <is>
          <t>%</t>
        </is>
      </c>
      <c r="D15" t="inlineStr">
        <is>
          <t>HIGHER_IS_BETTER</t>
        </is>
      </c>
      <c r="E15" t="inlineStr">
        <is>
          <t>VR</t>
        </is>
      </c>
      <c r="F15" t="inlineStr">
        <is>
          <t>COST_SAVING</t>
        </is>
      </c>
    </row>
    <row r="16">
      <c r="A16" t="inlineStr">
        <is>
          <t>time_to_value</t>
        </is>
      </c>
      <c r="B16" t="inlineStr">
        <is>
          <t>Time-to-value</t>
        </is>
      </c>
      <c r="C16" t="inlineStr">
        <is>
          <t>days</t>
        </is>
      </c>
      <c r="D16" t="inlineStr">
        <is>
          <t>LOWER_IS_BETTER</t>
        </is>
      </c>
      <c r="E16" t="inlineStr">
        <is>
          <t>VR</t>
        </is>
      </c>
      <c r="F16" t="inlineStr">
        <is>
          <t>TIME_SAVING</t>
        </is>
      </c>
    </row>
    <row r="17">
      <c r="A17" t="inlineStr">
        <is>
          <t>dev_productivity</t>
        </is>
      </c>
      <c r="B17" t="inlineStr">
        <is>
          <t>Developer productivity</t>
        </is>
      </c>
      <c r="C17" t="inlineStr">
        <is>
          <t>index</t>
        </is>
      </c>
      <c r="D17" t="inlineStr">
        <is>
          <t>HIGHER_IS_BETTER</t>
        </is>
      </c>
      <c r="E17" t="inlineStr">
        <is>
          <t>VR</t>
        </is>
      </c>
      <c r="F17" t="inlineStr">
        <is>
          <t>TIME_SAVING</t>
        </is>
      </c>
    </row>
    <row r="18">
      <c r="A18" t="inlineStr">
        <is>
          <t>onboarding_time</t>
        </is>
      </c>
      <c r="B18" t="inlineStr">
        <is>
          <t>New-developer onboarding time</t>
        </is>
      </c>
      <c r="C18" t="inlineStr">
        <is>
          <t>months</t>
        </is>
      </c>
      <c r="D18" t="inlineStr">
        <is>
          <t>LOWER_IS_BETTER</t>
        </is>
      </c>
      <c r="E18" t="inlineStr">
        <is>
          <t>VR</t>
        </is>
      </c>
      <c r="F18" t="inlineStr">
        <is>
          <t>TIME_SAVING</t>
        </is>
      </c>
    </row>
    <row r="19">
      <c r="A19" t="inlineStr">
        <is>
          <t>realized_value</t>
        </is>
      </c>
      <c r="B19" t="inlineStr">
        <is>
          <t>Realized value</t>
        </is>
      </c>
      <c r="C19" t="inlineStr">
        <is>
          <t>USD</t>
        </is>
      </c>
      <c r="D19" t="inlineStr">
        <is>
          <t>HIGHER_IS_BETTER</t>
        </is>
      </c>
      <c r="E19" t="inlineStr">
        <is>
          <t>VR</t>
        </is>
      </c>
      <c r="F19" t="inlineStr">
        <is>
          <t>COST_SAVING</t>
        </is>
      </c>
    </row>
    <row r="20">
      <c r="A20" t="inlineStr">
        <is>
          <t>net_variance</t>
        </is>
      </c>
      <c r="B20" t="inlineStr">
        <is>
          <t>Planned vs realized variance</t>
        </is>
      </c>
      <c r="C20" t="inlineStr">
        <is>
          <t>%</t>
        </is>
      </c>
      <c r="D20" t="inlineStr">
        <is>
          <t>HIGHER_IS_BETTER</t>
        </is>
      </c>
      <c r="E20" t="inlineStr">
        <is>
          <t>VR</t>
        </is>
      </c>
      <c r="F20" t="inlineStr">
        <is>
          <t>OTHER</t>
        </is>
      </c>
    </row>
    <row r="21">
      <c r="A21" t="inlineStr">
        <is>
          <t>reports_delivered</t>
        </is>
      </c>
      <c r="B21" t="inlineStr">
        <is>
          <t>Value reports / QBRs delivered</t>
        </is>
      </c>
      <c r="C21" t="inlineStr">
        <is>
          <t>count</t>
        </is>
      </c>
      <c r="D21" t="inlineStr">
        <is>
          <t>HIGHER_IS_BETTER</t>
        </is>
      </c>
      <c r="E21" t="inlineStr">
        <is>
          <t>VR</t>
        </is>
      </c>
      <c r="F21" t="inlineStr">
        <is>
          <t>OTHER</t>
        </is>
      </c>
    </row>
    <row r="22">
      <c r="A22" t="inlineStr">
        <is>
          <t>total_realized_value</t>
        </is>
      </c>
      <c r="B22" t="inlineStr">
        <is>
          <t>Total realized value (portfolio)</t>
        </is>
      </c>
      <c r="C22" t="inlineStr">
        <is>
          <t>USD</t>
        </is>
      </c>
      <c r="D22" t="inlineStr">
        <is>
          <t>HIGHER_IS_BETTER</t>
        </is>
      </c>
      <c r="E22" t="inlineStr">
        <is>
          <t>VR</t>
        </is>
      </c>
      <c r="F22" t="inlineStr">
        <is>
          <t>COST_SAVING</t>
        </is>
      </c>
    </row>
    <row r="23">
      <c r="A23" t="inlineStr">
        <is>
          <t>template_reuse_rate</t>
        </is>
      </c>
      <c r="B23" t="inlineStr">
        <is>
          <t>Template / plan reuse rate</t>
        </is>
      </c>
      <c r="C23" t="inlineStr">
        <is>
          <t>%</t>
        </is>
      </c>
      <c r="D23" t="inlineStr">
        <is>
          <t>HIGHER_IS_BETTER</t>
        </is>
      </c>
      <c r="E23" t="inlineStr">
        <is>
          <t>VR</t>
        </is>
      </c>
      <c r="F23" t="inlineStr">
        <is>
          <t>OTHER</t>
        </is>
      </c>
    </row>
    <row r="24">
      <c r="A24" t="inlineStr">
        <is>
          <t>schedule_impact_days</t>
        </is>
      </c>
      <c r="B24" t="inlineStr">
        <is>
          <t>Schedule impact</t>
        </is>
      </c>
      <c r="C24" t="inlineStr">
        <is>
          <t>days</t>
        </is>
      </c>
      <c r="D24" t="inlineStr">
        <is>
          <t>LOWER_IS_BETTER</t>
        </is>
      </c>
      <c r="E24" t="inlineStr">
        <is>
          <t>VE</t>
        </is>
      </c>
      <c r="F24" t="inlineStr">
        <is>
          <t>SCHEDULE</t>
        </is>
      </c>
    </row>
    <row r="25">
      <c r="A25" t="inlineStr">
        <is>
          <t>lcc_reduction</t>
        </is>
      </c>
      <c r="B25" t="inlineStr">
        <is>
          <t>Life-cycle cost reduction</t>
        </is>
      </c>
      <c r="C25" t="inlineStr">
        <is>
          <t>USD</t>
        </is>
      </c>
      <c r="D25" t="inlineStr">
        <is>
          <t>HIGHER_IS_BETTER</t>
        </is>
      </c>
      <c r="E25" t="inlineStr">
        <is>
          <t>VE</t>
        </is>
      </c>
      <c r="F25" t="inlineStr">
        <is>
          <t>COST_SAVING</t>
        </is>
      </c>
    </row>
    <row r="26">
      <c r="A26" t="inlineStr">
        <is>
          <t>reliability_uptime</t>
        </is>
      </c>
      <c r="B26" t="inlineStr">
        <is>
          <t>Reliability / uptime</t>
        </is>
      </c>
      <c r="C26" t="inlineStr">
        <is>
          <t>%</t>
        </is>
      </c>
      <c r="D26" t="inlineStr">
        <is>
          <t>HIGHER_IS_BETTER</t>
        </is>
      </c>
      <c r="E26" t="inlineStr">
        <is>
          <t>VR</t>
        </is>
      </c>
      <c r="F26" t="inlineStr">
        <is>
          <t>RELIABILITY</t>
        </is>
      </c>
    </row>
    <row r="27">
      <c r="A27" t="inlineStr">
        <is>
          <t>unit_cost_reduction</t>
        </is>
      </c>
      <c r="B27" t="inlineStr">
        <is>
          <t>Unit cost reduction</t>
        </is>
      </c>
      <c r="C27" t="inlineStr">
        <is>
          <t>USD</t>
        </is>
      </c>
      <c r="D27" t="inlineStr">
        <is>
          <t>HIGHER_IS_BETTER</t>
        </is>
      </c>
      <c r="E27" t="inlineStr">
        <is>
          <t>VE</t>
        </is>
      </c>
      <c r="F27" t="inlineStr">
        <is>
          <t>COST_SAVING</t>
        </is>
      </c>
    </row>
    <row r="28">
      <c r="A28" t="inlineStr">
        <is>
          <t>first_pass_yield</t>
        </is>
      </c>
      <c r="B28" t="inlineStr">
        <is>
          <t>First pass yield</t>
        </is>
      </c>
      <c r="C28" t="inlineStr">
        <is>
          <t>%</t>
        </is>
      </c>
      <c r="D28" t="inlineStr">
        <is>
          <t>HIGHER_IS_BETTER</t>
        </is>
      </c>
      <c r="E28" t="inlineStr">
        <is>
          <t>VR</t>
        </is>
      </c>
      <c r="F28" t="inlineStr">
        <is>
          <t>QUALITY</t>
        </is>
      </c>
    </row>
    <row r="29">
      <c r="A29" t="inlineStr">
        <is>
          <t>mainframe_cost</t>
        </is>
      </c>
      <c r="B29" t="inlineStr">
        <is>
          <t>Mainframe cost reduction (MLC / MSU)</t>
        </is>
      </c>
      <c r="C29" t="inlineStr">
        <is>
          <t>USD</t>
        </is>
      </c>
      <c r="D29" t="inlineStr">
        <is>
          <t>HIGHER_IS_BETTER</t>
        </is>
      </c>
      <c r="E29" t="inlineStr">
        <is>
          <t>VE</t>
        </is>
      </c>
      <c r="F29" t="inlineStr">
        <is>
          <t>COST_SAVING</t>
        </is>
      </c>
    </row>
    <row r="30">
      <c r="A30" t="inlineStr">
        <is>
          <t>mttr</t>
        </is>
      </c>
      <c r="B30" t="inlineStr">
        <is>
          <t>Mean time to resolve (MTTR)</t>
        </is>
      </c>
      <c r="C30" t="inlineStr">
        <is>
          <t>hours</t>
        </is>
      </c>
      <c r="D30" t="inlineStr">
        <is>
          <t>LOWER_IS_BETTER</t>
        </is>
      </c>
      <c r="E30" t="inlineStr">
        <is>
          <t>VR</t>
        </is>
      </c>
      <c r="F30" t="inlineStr">
        <is>
          <t>RELIABILITY</t>
        </is>
      </c>
    </row>
    <row r="31">
      <c r="A31" t="inlineStr">
        <is>
          <t>job_success_rate</t>
        </is>
      </c>
      <c r="B31" t="inlineStr">
        <is>
          <t>Job success rate</t>
        </is>
      </c>
      <c r="C31" t="inlineStr">
        <is>
          <t>%</t>
        </is>
      </c>
      <c r="D31" t="inlineStr">
        <is>
          <t>HIGHER_IS_BETTER</t>
        </is>
      </c>
      <c r="E31" t="inlineStr">
        <is>
          <t>VR</t>
        </is>
      </c>
      <c r="F31" t="inlineStr">
        <is>
          <t>RELIABILITY</t>
        </is>
      </c>
    </row>
    <row r="32">
      <c r="A32" t="inlineStr">
        <is>
          <t>sla_attainment</t>
        </is>
      </c>
      <c r="B32" t="inlineStr">
        <is>
          <t>SLA attainment</t>
        </is>
      </c>
      <c r="C32" t="inlineStr">
        <is>
          <t>%</t>
        </is>
      </c>
      <c r="D32" t="inlineStr">
        <is>
          <t>HIGHER_IS_BETTER</t>
        </is>
      </c>
      <c r="E32" t="inlineStr">
        <is>
          <t>VR</t>
        </is>
      </c>
      <c r="F32" t="inlineStr">
        <is>
          <t>RELIABILITY</t>
        </is>
      </c>
    </row>
    <row r="33">
      <c r="A33" t="inlineStr">
        <is>
          <t>ticket_deflection</t>
        </is>
      </c>
      <c r="B33" t="inlineStr">
        <is>
          <t>Ticket deflection rate</t>
        </is>
      </c>
      <c r="C33" t="inlineStr">
        <is>
          <t>%</t>
        </is>
      </c>
      <c r="D33" t="inlineStr">
        <is>
          <t>HIGHER_IS_BETTER</t>
        </is>
      </c>
      <c r="E33" t="inlineStr">
        <is>
          <t>VR</t>
        </is>
      </c>
      <c r="F33" t="inlineStr">
        <is>
          <t>COST_SAVING</t>
        </is>
      </c>
    </row>
    <row r="34">
      <c r="A34" t="inlineStr">
        <is>
          <t>first_contact_resolution</t>
        </is>
      </c>
      <c r="B34" t="inlineStr">
        <is>
          <t>First-contact resolution</t>
        </is>
      </c>
      <c r="C34" t="inlineStr">
        <is>
          <t>%</t>
        </is>
      </c>
      <c r="D34" t="inlineStr">
        <is>
          <t>HIGHER_IS_BETTER</t>
        </is>
      </c>
      <c r="E34" t="inlineStr">
        <is>
          <t>VR</t>
        </is>
      </c>
      <c r="F34" t="inlineStr">
        <is>
          <t>QUALITY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SolutionProfiles</t>
        </is>
      </c>
      <c r="B1" t="inlineStr">
        <is>
          <t>StudyTypes</t>
        </is>
      </c>
      <c r="C1" t="inlineStr">
        <is>
          <t>CostItemKind</t>
        </is>
      </c>
      <c r="D1" t="inlineStr">
        <is>
          <t>BenefitCategory</t>
        </is>
      </c>
      <c r="E1" t="inlineStr">
        <is>
          <t>FunctionKind</t>
        </is>
      </c>
      <c r="F1" t="inlineStr">
        <is>
          <t>RecommendationStatus</t>
        </is>
      </c>
      <c r="G1" t="inlineStr">
        <is>
          <t>YesNo</t>
        </is>
      </c>
      <c r="H1" t="inlineStr">
        <is>
          <t>Currencies</t>
        </is>
      </c>
      <c r="I1" t="inlineStr">
        <is>
          <t>KpiNames</t>
        </is>
      </c>
      <c r="J1" t="inlineStr">
        <is>
          <t>WorkPackageStatus</t>
        </is>
      </c>
      <c r="K1" t="inlineStr">
        <is>
          <t>RiskStatus</t>
        </is>
      </c>
      <c r="L1" t="inlineStr">
        <is>
          <t>Health</t>
        </is>
      </c>
      <c r="M1" t="inlineStr">
        <is>
          <t>Confidence</t>
        </is>
      </c>
      <c r="N1" t="inlineStr">
        <is>
          <t>Scale</t>
        </is>
      </c>
      <c r="O1" t="inlineStr">
        <is>
          <t>TrackOrigin</t>
        </is>
      </c>
      <c r="P1" t="inlineStr">
        <is>
          <t>ArtifactType</t>
        </is>
      </c>
      <c r="Q1" t="inlineStr">
        <is>
          <t>LessonCat</t>
        </is>
      </c>
    </row>
    <row r="2">
      <c r="A2" t="inlineStr">
        <is>
          <t>automation</t>
        </is>
      </c>
      <c r="B2" t="inlineStr">
        <is>
          <t>Adoption &amp; value-realization study</t>
        </is>
      </c>
      <c r="C2" t="inlineStr">
        <is>
          <t>CAPEX</t>
        </is>
      </c>
      <c r="D2" t="inlineStr">
        <is>
          <t>COST_SAVING</t>
        </is>
      </c>
      <c r="E2" t="inlineStr">
        <is>
          <t>BASIC</t>
        </is>
      </c>
      <c r="F2" t="inlineStr">
        <is>
          <t>PROPOSED</t>
        </is>
      </c>
      <c r="G2" t="inlineStr">
        <is>
          <t>Yes</t>
        </is>
      </c>
      <c r="H2" t="inlineStr">
        <is>
          <t>USD</t>
        </is>
      </c>
      <c r="I2" t="inlineStr">
        <is>
          <t>Estimated / realized cost savings</t>
        </is>
      </c>
      <c r="J2" t="inlineStr">
        <is>
          <t>NOT_STARTED</t>
        </is>
      </c>
      <c r="K2" t="inlineStr">
        <is>
          <t>OPEN</t>
        </is>
      </c>
      <c r="L2" t="inlineStr">
        <is>
          <t>GREEN</t>
        </is>
      </c>
      <c r="M2" t="inlineStr">
        <is>
          <t>High</t>
        </is>
      </c>
      <c r="N2" t="inlineStr">
        <is>
          <t>1</t>
        </is>
      </c>
      <c r="O2" t="inlineStr">
        <is>
          <t>STANDALONE (existing software)</t>
        </is>
      </c>
      <c r="P2" t="inlineStr">
        <is>
          <t>EXPECTED_BENEFIT</t>
        </is>
      </c>
      <c r="Q2" t="inlineStr">
        <is>
          <t>what_worked</t>
        </is>
      </c>
    </row>
    <row r="3">
      <c r="A3" t="inlineStr">
        <is>
          <t>mainframe</t>
        </is>
      </c>
      <c r="B3" t="inlineStr">
        <is>
          <t>Automation value study</t>
        </is>
      </c>
      <c r="C3" t="inlineStr">
        <is>
          <t>OPEX</t>
        </is>
      </c>
      <c r="D3" t="inlineStr">
        <is>
          <t>REVENUE_UPLIFT</t>
        </is>
      </c>
      <c r="E3" t="inlineStr">
        <is>
          <t>SECONDARY</t>
        </is>
      </c>
      <c r="F3" t="inlineStr">
        <is>
          <t>SHORTLISTED</t>
        </is>
      </c>
      <c r="G3" t="inlineStr">
        <is>
          <t>No</t>
        </is>
      </c>
      <c r="H3" t="inlineStr">
        <is>
          <t>ZAR</t>
        </is>
      </c>
      <c r="I3" t="inlineStr">
        <is>
          <t>Return on investment</t>
        </is>
      </c>
      <c r="J3" t="inlineStr">
        <is>
          <t>IN_PROGRESS</t>
        </is>
      </c>
      <c r="K3" t="inlineStr">
        <is>
          <t>MITIGATING</t>
        </is>
      </c>
      <c r="L3" t="inlineStr">
        <is>
          <t>AMBER</t>
        </is>
      </c>
      <c r="M3" t="inlineStr">
        <is>
          <t>Medium</t>
        </is>
      </c>
      <c r="N3" t="inlineStr">
        <is>
          <t>2</t>
        </is>
      </c>
      <c r="O3" t="inlineStr">
        <is>
          <t>VE_HANDOVER (from a study)</t>
        </is>
      </c>
      <c r="P3" t="inlineStr">
        <is>
          <t>SUCCESS_CRITERION</t>
        </is>
      </c>
      <c r="Q3" t="inlineStr">
        <is>
          <t>what_to_change</t>
        </is>
      </c>
    </row>
    <row r="4">
      <c r="A4" t="inlineStr">
        <is>
          <t>serviceops</t>
        </is>
      </c>
      <c r="B4" t="inlineStr">
        <is>
          <t>Availability &amp; resilience review</t>
        </is>
      </c>
      <c r="C4" t="inlineStr">
        <is>
          <t>ONE_OFF</t>
        </is>
      </c>
      <c r="D4" t="inlineStr">
        <is>
          <t>RISK_REDUCTION</t>
        </is>
      </c>
      <c r="F4" t="inlineStr">
        <is>
          <t>ACCEPTED</t>
        </is>
      </c>
      <c r="H4" t="inlineStr">
        <is>
          <t>EUR</t>
        </is>
      </c>
      <c r="I4" t="inlineStr">
        <is>
          <t>Payback period</t>
        </is>
      </c>
      <c r="J4" t="inlineStr">
        <is>
          <t>BLOCKED</t>
        </is>
      </c>
      <c r="K4" t="inlineStr">
        <is>
          <t>CLOSED</t>
        </is>
      </c>
      <c r="L4" t="inlineStr">
        <is>
          <t>RED</t>
        </is>
      </c>
      <c r="M4" t="inlineStr">
        <is>
          <t>Low</t>
        </is>
      </c>
      <c r="N4" t="inlineStr">
        <is>
          <t>3</t>
        </is>
      </c>
      <c r="P4" t="inlineStr">
        <is>
          <t>BASELINE</t>
        </is>
      </c>
      <c r="Q4" t="inlineStr">
        <is>
          <t>recommendation_for_ve</t>
        </is>
      </c>
    </row>
    <row r="5">
      <c r="A5" t="inlineStr">
        <is>
          <t>reseller</t>
        </is>
      </c>
      <c r="B5" t="inlineStr">
        <is>
          <t>Build-vs-buy business case</t>
        </is>
      </c>
      <c r="C5" t="inlineStr">
        <is>
          <t>RECURRING</t>
        </is>
      </c>
      <c r="D5" t="inlineStr">
        <is>
          <t>TIME_SAVING</t>
        </is>
      </c>
      <c r="F5" t="inlineStr">
        <is>
          <t>REJECTED</t>
        </is>
      </c>
      <c r="H5" t="inlineStr">
        <is>
          <t>GBP</t>
        </is>
      </c>
      <c r="I5" t="inlineStr">
        <is>
          <t>Revenue uplift</t>
        </is>
      </c>
      <c r="J5" t="inlineStr">
        <is>
          <t>DONE</t>
        </is>
      </c>
      <c r="K5" t="inlineStr">
        <is>
          <t>ACCEPTED</t>
        </is>
      </c>
      <c r="N5" t="inlineStr">
        <is>
          <t>4</t>
        </is>
      </c>
      <c r="P5" t="inlineStr">
        <is>
          <t>KPI</t>
        </is>
      </c>
    </row>
    <row r="6">
      <c r="B6" t="inlineStr">
        <is>
          <t>Capacity &amp; cost forecasting study</t>
        </is>
      </c>
      <c r="C6" t="inlineStr">
        <is>
          <t>BENEFIT</t>
        </is>
      </c>
      <c r="D6" t="inlineStr">
        <is>
          <t>QUALITY</t>
        </is>
      </c>
      <c r="F6" t="inlineStr">
        <is>
          <t>DEFERRED</t>
        </is>
      </c>
      <c r="H6" t="inlineStr">
        <is>
          <t>AUD</t>
        </is>
      </c>
      <c r="I6" t="inlineStr">
        <is>
          <t>Alternatives generated</t>
        </is>
      </c>
      <c r="N6" t="inlineStr">
        <is>
          <t>5</t>
        </is>
      </c>
      <c r="P6" t="inlineStr">
        <is>
          <t>RISK</t>
        </is>
      </c>
    </row>
    <row r="7">
      <c r="B7" t="inlineStr">
        <is>
          <t>Cloud migration / modernization TCO case</t>
        </is>
      </c>
      <c r="D7" t="inlineStr">
        <is>
          <t>SCHEDULE</t>
        </is>
      </c>
      <c r="H7" t="inlineStr">
        <is>
          <t>NGN</t>
        </is>
      </c>
      <c r="I7" t="inlineStr">
        <is>
          <t>Recommendations accepted</t>
        </is>
      </c>
    </row>
    <row r="8">
      <c r="B8" t="inlineStr">
        <is>
          <t>Competitive displacement / TCO case</t>
        </is>
      </c>
      <c r="D8" t="inlineStr">
        <is>
          <t>RELIABILITY</t>
        </is>
      </c>
      <c r="H8" t="inlineStr">
        <is>
          <t>KES</t>
        </is>
      </c>
      <c r="I8" t="inlineStr">
        <is>
          <t>Study cycle time</t>
        </is>
      </c>
    </row>
    <row r="9">
      <c r="B9" t="inlineStr">
        <is>
          <t>Consolidation case (tool / licence)</t>
        </is>
      </c>
      <c r="D9" t="inlineStr">
        <is>
          <t>OTHER</t>
        </is>
      </c>
      <c r="H9" t="inlineStr">
        <is>
          <t>BWP</t>
        </is>
      </c>
      <c r="I9" t="inlineStr">
        <is>
          <t>Average ROI per study</t>
        </is>
      </c>
    </row>
    <row r="10">
      <c r="B10" t="inlineStr">
        <is>
          <t>Continuous optimization / cost case</t>
        </is>
      </c>
      <c r="I10" t="inlineStr">
        <is>
          <t>On-time implementation</t>
        </is>
      </c>
    </row>
    <row r="11">
      <c r="B11" t="inlineStr">
        <is>
          <t>Cost-optimization study</t>
        </is>
      </c>
      <c r="I11" t="inlineStr">
        <is>
          <t>Adoption rate</t>
        </is>
      </c>
    </row>
    <row r="12">
      <c r="B12" t="inlineStr">
        <is>
          <t>ITSM value / TCO study</t>
        </is>
      </c>
      <c r="I12" t="inlineStr">
        <is>
          <t>Licence / capacity utilization</t>
        </is>
      </c>
    </row>
    <row r="13">
      <c r="B13" t="inlineStr">
        <is>
          <t>Managed-service (MSP) migration case</t>
        </is>
      </c>
      <c r="I13" t="inlineStr">
        <is>
          <t>Time-to-value</t>
        </is>
      </c>
    </row>
    <row r="14">
      <c r="B14" t="inlineStr">
        <is>
          <t>Proof-of-value (PoV) outcome study</t>
        </is>
      </c>
      <c r="I14" t="inlineStr">
        <is>
          <t>Developer productivity</t>
        </is>
      </c>
    </row>
    <row r="15">
      <c r="B15" t="inlineStr">
        <is>
          <t>Renewal &amp; expansion case</t>
        </is>
      </c>
      <c r="I15" t="inlineStr">
        <is>
          <t>New-developer onboarding time</t>
        </is>
      </c>
    </row>
    <row r="16">
      <c r="B16" t="inlineStr">
        <is>
          <t>ROI / TCO business case</t>
        </is>
      </c>
      <c r="I16" t="inlineStr">
        <is>
          <t>Realized value</t>
        </is>
      </c>
    </row>
    <row r="17">
      <c r="B17" t="inlineStr">
        <is>
          <t>SaaS migration case</t>
        </is>
      </c>
      <c r="I17" t="inlineStr">
        <is>
          <t>Planned vs realized variance</t>
        </is>
      </c>
    </row>
    <row r="18">
      <c r="B18" t="inlineStr">
        <is>
          <t>Security &amp; compliance risk-reduction case</t>
        </is>
      </c>
      <c r="I18" t="inlineStr">
        <is>
          <t>Value reports / QBRs delivered</t>
        </is>
      </c>
    </row>
    <row r="19">
      <c r="B19" t="inlineStr">
        <is>
          <t>Self-service deflection study</t>
        </is>
      </c>
      <c r="I19" t="inlineStr">
        <is>
          <t>Total realized value (portfolio)</t>
        </is>
      </c>
    </row>
    <row r="20">
      <c r="B20" t="inlineStr">
        <is>
          <t>Value realisation &amp; optimisation study</t>
        </is>
      </c>
      <c r="I20" t="inlineStr">
        <is>
          <t>Template / plan reuse rate</t>
        </is>
      </c>
    </row>
    <row r="21">
      <c r="I21" t="inlineStr">
        <is>
          <t>Schedule impact</t>
        </is>
      </c>
    </row>
    <row r="22">
      <c r="I22" t="inlineStr">
        <is>
          <t>Life-cycle cost reduction</t>
        </is>
      </c>
    </row>
    <row r="23">
      <c r="I23" t="inlineStr">
        <is>
          <t>Reliability / uptime</t>
        </is>
      </c>
    </row>
    <row r="24">
      <c r="I24" t="inlineStr">
        <is>
          <t>Unit cost reduction</t>
        </is>
      </c>
    </row>
    <row r="25">
      <c r="I25" t="inlineStr">
        <is>
          <t>First pass yield</t>
        </is>
      </c>
    </row>
    <row r="26">
      <c r="I26" t="inlineStr">
        <is>
          <t>Mainframe cost reduction (MLC / MSU)</t>
        </is>
      </c>
    </row>
    <row r="27">
      <c r="I27" t="inlineStr">
        <is>
          <t>Mean time to resolve (MTTR)</t>
        </is>
      </c>
    </row>
    <row r="28">
      <c r="I28" t="inlineStr">
        <is>
          <t>Job success rate</t>
        </is>
      </c>
    </row>
    <row r="29">
      <c r="I29" t="inlineStr">
        <is>
          <t>SLA attainment</t>
        </is>
      </c>
    </row>
    <row r="30">
      <c r="I30" t="inlineStr">
        <is>
          <t>Ticket deflection rate</t>
        </is>
      </c>
    </row>
    <row r="31">
      <c r="I31" t="inlineStr">
        <is>
          <t>First-contact resolution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 outlineLevelRow="0"/>
  <cols>
    <col width="42" customWidth="1" min="1" max="1"/>
    <col width="52" customWidth="1" min="2" max="2"/>
    <col width="26" customWidth="1" min="3" max="3"/>
  </cols>
  <sheetData>
    <row r="1">
      <c r="A1" s="1" t="inlineStr">
        <is>
          <t>1 · Track</t>
        </is>
      </c>
    </row>
    <row r="2">
      <c r="A2" s="2" t="inlineStr">
        <is>
          <t>Realization track header → maps to the app's New realization track (or the VE → VR handover).</t>
        </is>
      </c>
    </row>
    <row r="3"/>
    <row r="4">
      <c r="A4" s="3" t="inlineStr">
        <is>
          <t>Client / account</t>
        </is>
      </c>
      <c r="B4" s="8" t="n"/>
    </row>
    <row r="5">
      <c r="A5" s="3" t="inlineStr">
        <is>
          <t>Track title</t>
        </is>
      </c>
      <c r="B5" s="11" t="inlineStr">
        <is>
          <t>ITSM Platform Displacement — Value Realization</t>
        </is>
      </c>
    </row>
    <row r="6">
      <c r="A6" s="3" t="inlineStr">
        <is>
          <t>Origin</t>
        </is>
      </c>
      <c r="B6" s="11" t="inlineStr">
        <is>
          <t>Handover from VE study</t>
        </is>
      </c>
    </row>
    <row r="7">
      <c r="A7" s="3" t="inlineStr">
        <is>
          <t>Source study code (if handover)</t>
        </is>
      </c>
      <c r="B7" s="8" t="n"/>
    </row>
    <row r="8">
      <c r="A8" s="3" t="inlineStr">
        <is>
          <t>Solution profile</t>
        </is>
      </c>
      <c r="B8" s="11" t="inlineStr">
        <is>
          <t>serviceops</t>
        </is>
      </c>
    </row>
    <row r="9">
      <c r="A9" s="3" t="inlineStr">
        <is>
          <t>VRM (owner)</t>
        </is>
      </c>
      <c r="B9" s="8" t="n"/>
    </row>
    <row r="10">
      <c r="A10" s="3" t="inlineStr">
        <is>
          <t>Objectives</t>
        </is>
      </c>
      <c r="B10" s="11" t="inlineStr">
        <is>
          <t>Realise the displacement business case: stand up the target platform, migrate off the incumbent, and prove the ~$630K/yr net platform saving while improving MTTR, deflection and SLA.</t>
        </is>
      </c>
    </row>
    <row r="11">
      <c r="A11" s="3" t="inlineStr">
        <is>
          <t>Success criteria</t>
        </is>
      </c>
      <c r="B11" s="11" t="inlineStr">
        <is>
          <t>Incumbent fully decommissioned on plan; net annual TCO saving ≥ $630K evidenced; MTTR ≤ 4.0h; deflection ≥ 35%; zero consumption / true-up overages post-cutover.</t>
        </is>
      </c>
    </row>
    <row r="12">
      <c r="A12" s="3" t="inlineStr">
        <is>
          <t>Planned value</t>
        </is>
      </c>
      <c r="B12" s="11" t="n">
        <v>630000</v>
      </c>
    </row>
    <row r="13">
      <c r="A13" s="3" t="inlineStr">
        <is>
          <t>Currency</t>
        </is>
      </c>
      <c r="B13" s="11" t="inlineStr">
        <is>
          <t>USD</t>
        </is>
      </c>
    </row>
    <row r="14">
      <c r="A14" s="3" t="inlineStr">
        <is>
          <t>Start date</t>
        </is>
      </c>
      <c r="B14" s="11" t="inlineStr">
        <is>
          <t>2027-01-15</t>
        </is>
      </c>
    </row>
    <row r="15">
      <c r="A15" s="3" t="inlineStr">
        <is>
          <t>Target date</t>
        </is>
      </c>
      <c r="B15" s="11" t="inlineStr">
        <is>
          <t>2027-12-31</t>
        </is>
      </c>
    </row>
  </sheetData>
  <dataValidations count="3">
    <dataValidation sqref="B13" showDropDown="0" showInputMessage="0" showErrorMessage="0" allowBlank="1" type="list">
      <formula1>Currencies</formula1>
    </dataValidation>
    <dataValidation sqref="B6" showDropDown="0" showInputMessage="0" showErrorMessage="0" allowBlank="1" type="list">
      <formula1>TrackOrigin</formula1>
    </dataValidation>
    <dataValidation sqref="B8" showDropDown="0" showInputMessage="0" showErrorMessage="0" allowBlank="1" type="list">
      <formula1>SolutionProfiles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22" customWidth="1" min="2" max="2"/>
    <col width="14" customWidth="1" min="3" max="3"/>
    <col width="12" customWidth="1" min="4" max="4"/>
    <col width="22" customWidth="1" min="5" max="5"/>
    <col width="14" customWidth="1" min="6" max="6"/>
    <col width="16" customWidth="1" min="7" max="7"/>
    <col width="22" customWidth="1" min="8" max="8"/>
  </cols>
  <sheetData>
    <row r="1">
      <c r="A1" s="1" t="inlineStr">
        <is>
          <t>2 · Baseline &amp; measurement</t>
        </is>
      </c>
    </row>
    <row r="2">
      <c r="A2" s="2" t="inlineStr">
        <is>
          <t>Validate baselines (handover) or establish them from the live deployment (standalone).</t>
        </is>
      </c>
    </row>
    <row r="3"/>
    <row r="4">
      <c r="A4" s="6" t="inlineStr">
        <is>
          <t>KPI (pick)</t>
        </is>
      </c>
      <c r="B4" s="6" t="inlineStr">
        <is>
          <t>KPI key (auto)</t>
        </is>
      </c>
      <c r="C4" s="6" t="inlineStr">
        <is>
          <t>Baseline value</t>
        </is>
      </c>
      <c r="D4" s="6" t="inlineStr">
        <is>
          <t>Unit (auto)</t>
        </is>
      </c>
      <c r="E4" s="6" t="inlineStr">
        <is>
          <t>Data source</t>
        </is>
      </c>
      <c r="F4" s="6" t="inlineStr">
        <is>
          <t>Frequency</t>
        </is>
      </c>
      <c r="G4" s="6" t="inlineStr">
        <is>
          <t>Owner</t>
        </is>
      </c>
      <c r="H4" s="6" t="inlineStr">
        <is>
          <t>Validated / established?</t>
        </is>
      </c>
    </row>
    <row r="5">
      <c r="A5" s="12" t="inlineStr">
        <is>
          <t>Mean time to resolve (MTTR)</t>
        </is>
      </c>
      <c r="B5" s="13" t="inlineStr">
        <is>
          <t>mttr</t>
        </is>
      </c>
      <c r="C5" s="12" t="n">
        <v>6.5</v>
      </c>
      <c r="D5" s="13" t="inlineStr">
        <is>
          <t>hours</t>
        </is>
      </c>
      <c r="E5" s="12" t="inlineStr">
        <is>
          <t>Incumbent ITSM reports</t>
        </is>
      </c>
      <c r="F5" s="12" t="inlineStr">
        <is>
          <t>Monthly</t>
        </is>
      </c>
      <c r="G5" s="12" t="inlineStr">
        <is>
          <t>IT Operations</t>
        </is>
      </c>
      <c r="H5" s="12" t="inlineStr">
        <is>
          <t>yes</t>
        </is>
      </c>
    </row>
    <row r="6">
      <c r="A6" s="12" t="inlineStr">
        <is>
          <t>SLA attainment</t>
        </is>
      </c>
      <c r="B6" s="13" t="inlineStr">
        <is>
          <t>sla_attainment</t>
        </is>
      </c>
      <c r="C6" s="12" t="n">
        <v>92</v>
      </c>
      <c r="D6" s="13" t="inlineStr">
        <is>
          <t>%</t>
        </is>
      </c>
      <c r="E6" s="12" t="inlineStr">
        <is>
          <t>Incumbent SLA reports</t>
        </is>
      </c>
      <c r="F6" s="12" t="inlineStr">
        <is>
          <t>Monthly</t>
        </is>
      </c>
      <c r="G6" s="12" t="inlineStr">
        <is>
          <t>Service Owner</t>
        </is>
      </c>
      <c r="H6" s="12" t="inlineStr">
        <is>
          <t>yes</t>
        </is>
      </c>
    </row>
    <row r="7">
      <c r="A7" s="12" t="inlineStr">
        <is>
          <t>Ticket deflection rate</t>
        </is>
      </c>
      <c r="B7" s="13" t="inlineStr">
        <is>
          <t>ticket_deflection</t>
        </is>
      </c>
      <c r="C7" s="12" t="n">
        <v>18</v>
      </c>
      <c r="D7" s="13" t="inlineStr">
        <is>
          <t>%</t>
        </is>
      </c>
      <c r="E7" s="12" t="inlineStr">
        <is>
          <t>Portal analytics</t>
        </is>
      </c>
      <c r="F7" s="12" t="inlineStr">
        <is>
          <t>Monthly</t>
        </is>
      </c>
      <c r="G7" s="12" t="inlineStr">
        <is>
          <t>Service Owner</t>
        </is>
      </c>
      <c r="H7" s="12" t="inlineStr">
        <is>
          <t>yes</t>
        </is>
      </c>
    </row>
    <row r="8">
      <c r="A8" s="12" t="inlineStr">
        <is>
          <t>First-contact resolution</t>
        </is>
      </c>
      <c r="B8" s="13" t="inlineStr">
        <is>
          <t>first_contact_resolution</t>
        </is>
      </c>
      <c r="C8" s="12" t="n">
        <v>61</v>
      </c>
      <c r="D8" s="13" t="inlineStr">
        <is>
          <t>%</t>
        </is>
      </c>
      <c r="E8" s="12" t="inlineStr">
        <is>
          <t>ITSM</t>
        </is>
      </c>
      <c r="F8" s="12" t="inlineStr">
        <is>
          <t>Monthly</t>
        </is>
      </c>
      <c r="G8" s="12" t="inlineStr">
        <is>
          <t>Service Desk Lead</t>
        </is>
      </c>
      <c r="H8" s="12" t="inlineStr">
        <is>
          <t>yes</t>
        </is>
      </c>
    </row>
    <row r="9">
      <c r="B9" s="10">
        <f>IFERROR(INDEX(Reference!$A$5:$A$34,MATCH(A9,Reference!$B$5:$B$34,0)),"")</f>
        <v/>
      </c>
      <c r="D9" s="10">
        <f>IFERROR(INDEX(Reference!$C$5:$C$34,MATCH(A9,Reference!$B$5:$B$34,0)),"")</f>
        <v/>
      </c>
    </row>
    <row r="10">
      <c r="B10" s="10">
        <f>IFERROR(INDEX(Reference!$A$5:$A$34,MATCH(A10,Reference!$B$5:$B$34,0)),"")</f>
        <v/>
      </c>
      <c r="D10" s="10">
        <f>IFERROR(INDEX(Reference!$C$5:$C$34,MATCH(A10,Reference!$B$5:$B$34,0)),"")</f>
        <v/>
      </c>
    </row>
    <row r="11">
      <c r="B11" s="10">
        <f>IFERROR(INDEX(Reference!$A$5:$A$34,MATCH(A11,Reference!$B$5:$B$34,0)),"")</f>
        <v/>
      </c>
      <c r="D11" s="10">
        <f>IFERROR(INDEX(Reference!$C$5:$C$34,MATCH(A11,Reference!$B$5:$B$34,0)),"")</f>
        <v/>
      </c>
    </row>
    <row r="12">
      <c r="B12" s="10">
        <f>IFERROR(INDEX(Reference!$A$5:$A$34,MATCH(A12,Reference!$B$5:$B$34,0)),"")</f>
        <v/>
      </c>
      <c r="D12" s="10">
        <f>IFERROR(INDEX(Reference!$C$5:$C$34,MATCH(A12,Reference!$B$5:$B$34,0)),"")</f>
        <v/>
      </c>
    </row>
    <row r="13">
      <c r="B13" s="10">
        <f>IFERROR(INDEX(Reference!$A$5:$A$34,MATCH(A13,Reference!$B$5:$B$34,0)),"")</f>
        <v/>
      </c>
      <c r="D13" s="10">
        <f>IFERROR(INDEX(Reference!$C$5:$C$34,MATCH(A13,Reference!$B$5:$B$34,0)),"")</f>
        <v/>
      </c>
    </row>
    <row r="14">
      <c r="B14" s="10">
        <f>IFERROR(INDEX(Reference!$A$5:$A$34,MATCH(A14,Reference!$B$5:$B$34,0)),"")</f>
        <v/>
      </c>
      <c r="D14" s="10">
        <f>IFERROR(INDEX(Reference!$C$5:$C$34,MATCH(A14,Reference!$B$5:$B$34,0)),"")</f>
        <v/>
      </c>
    </row>
    <row r="15">
      <c r="B15" s="10">
        <f>IFERROR(INDEX(Reference!$A$5:$A$34,MATCH(A15,Reference!$B$5:$B$34,0)),"")</f>
        <v/>
      </c>
      <c r="D15" s="10">
        <f>IFERROR(INDEX(Reference!$C$5:$C$34,MATCH(A15,Reference!$B$5:$B$34,0)),"")</f>
        <v/>
      </c>
    </row>
    <row r="16">
      <c r="B16" s="10">
        <f>IFERROR(INDEX(Reference!$A$5:$A$34,MATCH(A16,Reference!$B$5:$B$34,0)),"")</f>
        <v/>
      </c>
      <c r="D16" s="10">
        <f>IFERROR(INDEX(Reference!$C$5:$C$34,MATCH(A16,Reference!$B$5:$B$34,0)),"")</f>
        <v/>
      </c>
    </row>
  </sheetData>
  <dataValidations count="4">
    <dataValidation sqref="A10:A16" showDropDown="0" showInputMessage="0" showErrorMessage="0" allowBlank="1" type="list">
      <formula1>KpiNames</formula1>
    </dataValidation>
    <dataValidation sqref="A5:A16" showDropDown="0" showInputMessage="0" showErrorMessage="0" allowBlank="1" type="list">
      <formula1>KpiNames</formula1>
    </dataValidation>
    <dataValidation sqref="H10:H16" showDropDown="0" showInputMessage="0" showErrorMessage="0" allowBlank="1" type="list">
      <formula1>YesNo</formula1>
    </dataValidation>
    <dataValidation sqref="H5:H16" showDropDown="0" showInputMessage="0" showErrorMessage="0" allowBlank="1" type="list">
      <formula1>YesNo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 outlineLevelRow="0"/>
  <cols>
    <col width="34" customWidth="1" min="1" max="2"/>
    <col width="18" customWidth="1" min="3" max="3"/>
    <col width="12" customWidth="1" min="4" max="5"/>
    <col width="16" customWidth="1" min="6" max="6"/>
  </cols>
  <sheetData>
    <row r="1">
      <c r="A1" s="1" t="inlineStr">
        <is>
          <t>3 · Work packages</t>
        </is>
      </c>
    </row>
    <row r="2">
      <c r="A2" s="2" t="inlineStr">
        <is>
          <t>From accepted recommendations, or defined directly for a standalone track.</t>
        </is>
      </c>
    </row>
    <row r="3"/>
    <row r="4">
      <c r="A4" s="6" t="inlineStr">
        <is>
          <t>Name</t>
        </is>
      </c>
      <c r="B4" s="6" t="inlineStr">
        <is>
          <t>Description</t>
        </is>
      </c>
      <c r="C4" s="6" t="inlineStr">
        <is>
          <t>Owner</t>
        </is>
      </c>
      <c r="D4" s="6" t="inlineStr">
        <is>
          <t>Start</t>
        </is>
      </c>
      <c r="E4" s="6" t="inlineStr">
        <is>
          <t>Due</t>
        </is>
      </c>
      <c r="F4" s="6" t="inlineStr">
        <is>
          <t>Status</t>
        </is>
      </c>
    </row>
    <row r="5">
      <c r="A5" s="12" t="inlineStr">
        <is>
          <t>Stand up target platform (Kubernetes, in-country)</t>
        </is>
      </c>
      <c r="B5" s="12" t="inlineStr">
        <is>
          <t>Deploy ITSM + AIOps on private cloud for data residency</t>
        </is>
      </c>
      <c r="C5" s="12" t="inlineStr">
        <is>
          <t>Platform Engineering</t>
        </is>
      </c>
      <c r="D5" s="12" t="inlineStr">
        <is>
          <t>2027-01-15</t>
        </is>
      </c>
      <c r="E5" s="12" t="inlineStr">
        <is>
          <t>2027-03-15</t>
        </is>
      </c>
      <c r="F5" s="12" t="inlineStr">
        <is>
          <t>IN_PROGRESS</t>
        </is>
      </c>
    </row>
    <row r="6">
      <c r="A6" s="12" t="inlineStr">
        <is>
          <t>Migrate CMDB &amp; discovery (200k–800k items)</t>
        </is>
      </c>
      <c r="B6" s="12" t="inlineStr">
        <is>
          <t>ETL + discovery re-baseline; index tuning for large item loads</t>
        </is>
      </c>
      <c r="C6" s="12" t="inlineStr">
        <is>
          <t>CMDB Lead</t>
        </is>
      </c>
      <c r="D6" s="12" t="inlineStr">
        <is>
          <t>2027-02-01</t>
        </is>
      </c>
      <c r="E6" s="12" t="inlineStr">
        <is>
          <t>2027-05-15</t>
        </is>
      </c>
      <c r="F6" s="12" t="inlineStr">
        <is>
          <t>NOT_STARTED</t>
        </is>
      </c>
    </row>
    <row r="7">
      <c r="A7" s="12" t="inlineStr">
        <is>
          <t>Migrate ITSM processes (incident/request/change/problem)</t>
        </is>
      </c>
      <c r="B7" s="12" t="inlineStr">
        <is>
          <t>Configure workflows; parallel run against the incumbent</t>
        </is>
      </c>
      <c r="C7" s="12" t="inlineStr">
        <is>
          <t>ITSM Lead</t>
        </is>
      </c>
      <c r="D7" s="12" t="inlineStr">
        <is>
          <t>2027-03-01</t>
        </is>
      </c>
      <c r="E7" s="12" t="inlineStr">
        <is>
          <t>2027-06-30</t>
        </is>
      </c>
      <c r="F7" s="12" t="inlineStr">
        <is>
          <t>NOT_STARTED</t>
        </is>
      </c>
    </row>
    <row r="8">
      <c r="A8" s="12" t="inlineStr">
        <is>
          <t>Rebuild priority integrations (iPaaS / REST)</t>
        </is>
      </c>
      <c r="B8" s="12" t="inlineStr">
        <is>
          <t>Top 10 integrations first; retire incumbent connectors</t>
        </is>
      </c>
      <c r="C8" s="12" t="inlineStr">
        <is>
          <t>Integration Lead</t>
        </is>
      </c>
      <c r="D8" s="12" t="inlineStr">
        <is>
          <t>2027-03-15</t>
        </is>
      </c>
      <c r="E8" s="12" t="inlineStr">
        <is>
          <t>2027-06-30</t>
        </is>
      </c>
      <c r="F8" s="12" t="inlineStr">
        <is>
          <t>NOT_STARTED</t>
        </is>
      </c>
    </row>
    <row r="9">
      <c r="A9" s="12" t="inlineStr">
        <is>
          <t>Cutover &amp; decommission incumbent</t>
        </is>
      </c>
      <c r="B9" s="12" t="inlineStr">
        <is>
          <t>Domain-by-domain cutover aligned to renewal; contract exit</t>
        </is>
      </c>
      <c r="C9" s="12" t="inlineStr">
        <is>
          <t>Programme Manager</t>
        </is>
      </c>
      <c r="D9" s="12" t="inlineStr">
        <is>
          <t>2027-07-01</t>
        </is>
      </c>
      <c r="E9" s="12" t="inlineStr">
        <is>
          <t>2027-09-30</t>
        </is>
      </c>
      <c r="F9" s="12" t="inlineStr">
        <is>
          <t>NOT_STARTED</t>
        </is>
      </c>
    </row>
  </sheetData>
  <dataValidations count="2">
    <dataValidation sqref="F10:F19" showDropDown="0" showInputMessage="0" showErrorMessage="0" allowBlank="1" type="list">
      <formula1>WorkPackageStatus</formula1>
    </dataValidation>
    <dataValidation sqref="F5:F19" showDropDown="0" showInputMessage="0" showErrorMessage="0" allowBlank="1" type="list">
      <formula1>WorkPackageStatus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 outlineLevelRow="0"/>
  <cols>
    <col width="34" customWidth="1" min="1" max="1"/>
    <col width="30" customWidth="1" min="2" max="2"/>
    <col width="18" customWidth="1" min="3" max="3"/>
    <col width="12" customWidth="1" min="4" max="4"/>
    <col width="16" customWidth="1" min="5" max="5"/>
  </cols>
  <sheetData>
    <row r="1">
      <c r="A1" s="1" t="inlineStr">
        <is>
          <t>4 · Adoption plan</t>
        </is>
      </c>
    </row>
    <row r="2">
      <c r="A2" s="2" t="inlineStr">
        <is>
          <t>Who's impacted, training, comms, champions — value comes from use.</t>
        </is>
      </c>
    </row>
    <row r="3"/>
    <row r="4">
      <c r="A4" s="6" t="inlineStr">
        <is>
          <t>Activity</t>
        </is>
      </c>
      <c r="B4" s="6" t="inlineStr">
        <is>
          <t>Audience / who's impacted</t>
        </is>
      </c>
      <c r="C4" s="6" t="inlineStr">
        <is>
          <t>Owner</t>
        </is>
      </c>
      <c r="D4" s="6" t="inlineStr">
        <is>
          <t>Due</t>
        </is>
      </c>
      <c r="E4" s="6" t="inlineStr">
        <is>
          <t>Status</t>
        </is>
      </c>
    </row>
    <row r="5">
      <c r="A5" s="12" t="inlineStr">
        <is>
          <t>GenAI-assistant + modern-workplace training</t>
        </is>
      </c>
      <c r="B5" s="12" t="inlineStr">
        <is>
          <t>All fulfillers &amp; end users</t>
        </is>
      </c>
      <c r="C5" s="12" t="inlineStr">
        <is>
          <t>Enablement</t>
        </is>
      </c>
      <c r="D5" s="12" t="inlineStr">
        <is>
          <t>2027-04-15</t>
        </is>
      </c>
      <c r="E5" s="12" t="inlineStr">
        <is>
          <t>NOT_STARTED</t>
        </is>
      </c>
    </row>
    <row r="6">
      <c r="A6" s="12" t="inlineStr">
        <is>
          <t>Champion network across service teams</t>
        </is>
      </c>
      <c r="B6" s="12" t="inlineStr">
        <is>
          <t>Team leads</t>
        </is>
      </c>
      <c r="C6" s="12" t="inlineStr">
        <is>
          <t>Service Owner</t>
        </is>
      </c>
      <c r="D6" s="12" t="inlineStr">
        <is>
          <t>2027-04-01</t>
        </is>
      </c>
      <c r="E6" s="12" t="inlineStr">
        <is>
          <t>IN_PROGRESS</t>
        </is>
      </c>
    </row>
    <row r="7">
      <c r="A7" s="12" t="inlineStr">
        <is>
          <t>Self-service / virtual-agent adoption push</t>
        </is>
      </c>
      <c r="B7" s="12" t="inlineStr">
        <is>
          <t>End users</t>
        </is>
      </c>
      <c r="C7" s="12" t="inlineStr">
        <is>
          <t>Comms</t>
        </is>
      </c>
      <c r="D7" s="12" t="inlineStr">
        <is>
          <t>2027-05-01</t>
        </is>
      </c>
      <c r="E7" s="12" t="inlineStr">
        <is>
          <t>NOT_STARTED</t>
        </is>
      </c>
    </row>
  </sheetData>
  <dataValidations count="2">
    <dataValidation sqref="E10:E17" showDropDown="0" showInputMessage="0" showErrorMessage="0" allowBlank="1" type="list">
      <formula1>WorkPackageStatus</formula1>
    </dataValidation>
    <dataValidation sqref="E5:E17" showDropDown="0" showInputMessage="0" showErrorMessage="0" allowBlank="1" type="list">
      <formula1>WorkPackageStatus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22" customWidth="1" min="2" max="2"/>
    <col width="12" customWidth="1" min="3" max="5"/>
    <col width="14" customWidth="1" min="6" max="6"/>
    <col width="12" customWidth="1" min="7" max="7"/>
    <col width="18" customWidth="1" min="8" max="8"/>
  </cols>
  <sheetData>
    <row r="1">
      <c r="A1" s="1" t="inlineStr">
        <is>
          <t>5 · KPI tracker</t>
        </is>
      </c>
    </row>
    <row r="2">
      <c r="A2" s="2" t="inlineStr">
        <is>
          <t>Targets + actuals by period. Attainment auto-calcs vs baseline → target.</t>
        </is>
      </c>
    </row>
    <row r="3"/>
    <row r="4">
      <c r="A4" s="6" t="inlineStr">
        <is>
          <t>KPI (pick)</t>
        </is>
      </c>
      <c r="B4" s="6" t="inlineStr">
        <is>
          <t>KPI key (auto)</t>
        </is>
      </c>
      <c r="C4" s="6" t="inlineStr">
        <is>
          <t>Baseline</t>
        </is>
      </c>
      <c r="D4" s="6" t="inlineStr">
        <is>
          <t>Target</t>
        </is>
      </c>
      <c r="E4" s="6" t="inlineStr">
        <is>
          <t>Unit (auto)</t>
        </is>
      </c>
      <c r="F4" s="6" t="inlineStr">
        <is>
          <t>Period</t>
        </is>
      </c>
      <c r="G4" s="6" t="inlineStr">
        <is>
          <t>Actual</t>
        </is>
      </c>
      <c r="H4" s="6" t="inlineStr">
        <is>
          <t>Attainment % (auto)</t>
        </is>
      </c>
    </row>
    <row r="5">
      <c r="A5" s="12" t="inlineStr">
        <is>
          <t>Mean time to resolve (MTTR)</t>
        </is>
      </c>
      <c r="B5" s="13" t="inlineStr">
        <is>
          <t>mttr</t>
        </is>
      </c>
      <c r="C5" s="12" t="n">
        <v>6.5</v>
      </c>
      <c r="D5" s="12" t="n">
        <v>4</v>
      </c>
      <c r="E5" s="13" t="inlineStr">
        <is>
          <t>hours</t>
        </is>
      </c>
      <c r="F5" s="12" t="inlineStr">
        <is>
          <t>2027-03-31</t>
        </is>
      </c>
      <c r="G5" s="12" t="n">
        <v>5.6</v>
      </c>
      <c r="H5" s="10">
        <f>IFERROR((G5-C5)/(D5-C5),"")</f>
        <v/>
      </c>
    </row>
    <row r="6">
      <c r="A6" s="12" t="inlineStr">
        <is>
          <t>Mean time to resolve (MTTR)</t>
        </is>
      </c>
      <c r="B6" s="13" t="inlineStr">
        <is>
          <t>mttr</t>
        </is>
      </c>
      <c r="C6" s="12" t="n">
        <v>6.5</v>
      </c>
      <c r="D6" s="12" t="n">
        <v>4</v>
      </c>
      <c r="E6" s="13" t="inlineStr">
        <is>
          <t>hours</t>
        </is>
      </c>
      <c r="F6" s="12" t="inlineStr">
        <is>
          <t>2027-06-30</t>
        </is>
      </c>
      <c r="G6" s="12" t="n">
        <v>4.9</v>
      </c>
      <c r="H6" s="10">
        <f>IFERROR((G6-C6)/(D6-C6),"")</f>
        <v/>
      </c>
    </row>
    <row r="7">
      <c r="A7" s="12" t="inlineStr">
        <is>
          <t>Ticket deflection rate</t>
        </is>
      </c>
      <c r="B7" s="13" t="inlineStr">
        <is>
          <t>ticket_deflection</t>
        </is>
      </c>
      <c r="C7" s="12" t="n">
        <v>18</v>
      </c>
      <c r="D7" s="12" t="n">
        <v>35</v>
      </c>
      <c r="E7" s="13" t="inlineStr">
        <is>
          <t>%</t>
        </is>
      </c>
      <c r="F7" s="12" t="inlineStr">
        <is>
          <t>2027-03-31</t>
        </is>
      </c>
      <c r="G7" s="12" t="n">
        <v>24</v>
      </c>
      <c r="H7" s="10">
        <f>IFERROR((G7-C7)/(D7-C7),"")</f>
        <v/>
      </c>
    </row>
    <row r="8">
      <c r="A8" s="12" t="inlineStr">
        <is>
          <t>Ticket deflection rate</t>
        </is>
      </c>
      <c r="B8" s="13" t="inlineStr">
        <is>
          <t>ticket_deflection</t>
        </is>
      </c>
      <c r="C8" s="12" t="n">
        <v>18</v>
      </c>
      <c r="D8" s="12" t="n">
        <v>35</v>
      </c>
      <c r="E8" s="13" t="inlineStr">
        <is>
          <t>%</t>
        </is>
      </c>
      <c r="F8" s="12" t="inlineStr">
        <is>
          <t>2027-06-30</t>
        </is>
      </c>
      <c r="G8" s="12" t="n">
        <v>29</v>
      </c>
      <c r="H8" s="10">
        <f>IFERROR((G8-C8)/(D8-C8),"")</f>
        <v/>
      </c>
    </row>
    <row r="9">
      <c r="A9" s="12" t="inlineStr">
        <is>
          <t>SLA attainment</t>
        </is>
      </c>
      <c r="B9" s="13" t="inlineStr">
        <is>
          <t>sla_attainment</t>
        </is>
      </c>
      <c r="C9" s="12" t="n">
        <v>92</v>
      </c>
      <c r="D9" s="12" t="n">
        <v>98</v>
      </c>
      <c r="E9" s="13" t="inlineStr">
        <is>
          <t>%</t>
        </is>
      </c>
      <c r="F9" s="12" t="inlineStr">
        <is>
          <t>2027-06-30</t>
        </is>
      </c>
      <c r="G9" s="12" t="n">
        <v>95</v>
      </c>
      <c r="H9" s="10">
        <f>IFERROR((G9-C9)/(D9-C9),"")</f>
        <v/>
      </c>
    </row>
    <row r="10">
      <c r="A10" s="12" t="inlineStr">
        <is>
          <t>First-contact resolution</t>
        </is>
      </c>
      <c r="B10" s="13" t="inlineStr">
        <is>
          <t>first_contact_resolution</t>
        </is>
      </c>
      <c r="C10" s="12" t="n">
        <v>61</v>
      </c>
      <c r="D10" s="12" t="n">
        <v>75</v>
      </c>
      <c r="E10" s="13" t="inlineStr">
        <is>
          <t>%</t>
        </is>
      </c>
      <c r="F10" s="12" t="inlineStr">
        <is>
          <t>2027-06-30</t>
        </is>
      </c>
      <c r="G10" s="12" t="n">
        <v>67</v>
      </c>
      <c r="H10" s="10">
        <f>IFERROR((G10-C10)/(D10-C10),"")</f>
        <v/>
      </c>
    </row>
    <row r="11">
      <c r="B11" s="10">
        <f>IFERROR(INDEX(Reference!$A$5:$A$34,MATCH(A11,Reference!$B$5:$B$34,0)),"")</f>
        <v/>
      </c>
      <c r="E11" s="10">
        <f>IFERROR(INDEX(Reference!$C$5:$C$34,MATCH(A11,Reference!$B$5:$B$34,0)),"")</f>
        <v/>
      </c>
      <c r="H11" s="10">
        <f>IFERROR((G11-C11)/(D11-C11),"")</f>
        <v/>
      </c>
    </row>
    <row r="12">
      <c r="B12" s="10">
        <f>IFERROR(INDEX(Reference!$A$5:$A$34,MATCH(A12,Reference!$B$5:$B$34,0)),"")</f>
        <v/>
      </c>
      <c r="E12" s="10">
        <f>IFERROR(INDEX(Reference!$C$5:$C$34,MATCH(A12,Reference!$B$5:$B$34,0)),"")</f>
        <v/>
      </c>
      <c r="H12" s="10">
        <f>IFERROR((G12-C12)/(D12-C12),"")</f>
        <v/>
      </c>
    </row>
    <row r="13">
      <c r="B13" s="10">
        <f>IFERROR(INDEX(Reference!$A$5:$A$34,MATCH(A13,Reference!$B$5:$B$34,0)),"")</f>
        <v/>
      </c>
      <c r="E13" s="10">
        <f>IFERROR(INDEX(Reference!$C$5:$C$34,MATCH(A13,Reference!$B$5:$B$34,0)),"")</f>
        <v/>
      </c>
      <c r="H13" s="10">
        <f>IFERROR((G13-C13)/(D13-C13),"")</f>
        <v/>
      </c>
    </row>
    <row r="14">
      <c r="B14" s="10">
        <f>IFERROR(INDEX(Reference!$A$5:$A$34,MATCH(A14,Reference!$B$5:$B$34,0)),"")</f>
        <v/>
      </c>
      <c r="E14" s="10">
        <f>IFERROR(INDEX(Reference!$C$5:$C$34,MATCH(A14,Reference!$B$5:$B$34,0)),"")</f>
        <v/>
      </c>
      <c r="H14" s="10">
        <f>IFERROR((G14-C14)/(D14-C14),"")</f>
        <v/>
      </c>
    </row>
    <row r="15">
      <c r="B15" s="10">
        <f>IFERROR(INDEX(Reference!$A$5:$A$34,MATCH(A15,Reference!$B$5:$B$34,0)),"")</f>
        <v/>
      </c>
      <c r="E15" s="10">
        <f>IFERROR(INDEX(Reference!$C$5:$C$34,MATCH(A15,Reference!$B$5:$B$34,0)),"")</f>
        <v/>
      </c>
      <c r="H15" s="10">
        <f>IFERROR((G15-C15)/(D15-C15),"")</f>
        <v/>
      </c>
    </row>
    <row r="16">
      <c r="B16" s="10">
        <f>IFERROR(INDEX(Reference!$A$5:$A$34,MATCH(A16,Reference!$B$5:$B$34,0)),"")</f>
        <v/>
      </c>
      <c r="E16" s="10">
        <f>IFERROR(INDEX(Reference!$C$5:$C$34,MATCH(A16,Reference!$B$5:$B$34,0)),"")</f>
        <v/>
      </c>
      <c r="H16" s="10">
        <f>IFERROR((G16-C16)/(D16-C16),"")</f>
        <v/>
      </c>
    </row>
    <row r="17">
      <c r="B17" s="10">
        <f>IFERROR(INDEX(Reference!$A$5:$A$34,MATCH(A17,Reference!$B$5:$B$34,0)),"")</f>
        <v/>
      </c>
      <c r="E17" s="10">
        <f>IFERROR(INDEX(Reference!$C$5:$C$34,MATCH(A17,Reference!$B$5:$B$34,0)),"")</f>
        <v/>
      </c>
      <c r="H17" s="10">
        <f>IFERROR((G17-C17)/(D17-C17),"")</f>
        <v/>
      </c>
    </row>
    <row r="18">
      <c r="B18" s="10">
        <f>IFERROR(INDEX(Reference!$A$5:$A$34,MATCH(A18,Reference!$B$5:$B$34,0)),"")</f>
        <v/>
      </c>
      <c r="E18" s="10">
        <f>IFERROR(INDEX(Reference!$C$5:$C$34,MATCH(A18,Reference!$B$5:$B$34,0)),"")</f>
        <v/>
      </c>
      <c r="H18" s="10">
        <f>IFERROR((G18-C18)/(D18-C18),"")</f>
        <v/>
      </c>
    </row>
    <row r="19">
      <c r="B19" s="10">
        <f>IFERROR(INDEX(Reference!$A$5:$A$34,MATCH(A19,Reference!$B$5:$B$34,0)),"")</f>
        <v/>
      </c>
      <c r="E19" s="10">
        <f>IFERROR(INDEX(Reference!$C$5:$C$34,MATCH(A19,Reference!$B$5:$B$34,0)),"")</f>
        <v/>
      </c>
      <c r="H19" s="10">
        <f>IFERROR((G19-C19)/(D19-C19),"")</f>
        <v/>
      </c>
    </row>
  </sheetData>
  <dataValidations count="2">
    <dataValidation sqref="A10:A19" showDropDown="0" showInputMessage="0" showErrorMessage="0" allowBlank="1" type="list">
      <formula1>KpiNames</formula1>
    </dataValidation>
    <dataValidation sqref="A5:A19" showDropDown="0" showInputMessage="0" showErrorMessage="0" allowBlank="1" type="list">
      <formula1>KpiNames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 outlineLevelRow="0"/>
  <cols>
    <col width="34" customWidth="1" min="1" max="1"/>
    <col width="16" customWidth="1" min="2" max="2"/>
    <col width="14" customWidth="1" min="3" max="5"/>
  </cols>
  <sheetData>
    <row r="1">
      <c r="A1" s="1" t="inlineStr">
        <is>
          <t>6 · Benefits — planned vs realized</t>
        </is>
      </c>
    </row>
    <row r="2">
      <c r="A2" s="2" t="inlineStr">
        <is>
          <t>Realized rolls up to the track &amp; portfolio in the app.</t>
        </is>
      </c>
    </row>
    <row r="3"/>
    <row r="4">
      <c r="A4" s="6" t="inlineStr">
        <is>
          <t>Benefit</t>
        </is>
      </c>
      <c r="B4" s="6" t="inlineStr">
        <is>
          <t>Category</t>
        </is>
      </c>
      <c r="C4" s="6" t="inlineStr">
        <is>
          <t>Planned value</t>
        </is>
      </c>
      <c r="D4" s="6" t="inlineStr">
        <is>
          <t>Realized value</t>
        </is>
      </c>
      <c r="E4" s="6" t="inlineStr">
        <is>
          <t>Variance (auto)</t>
        </is>
      </c>
    </row>
    <row r="5">
      <c r="A5" s="12" t="inlineStr">
        <is>
          <t>Platform TCO reduction vs the incumbent (net, annualised)</t>
        </is>
      </c>
      <c r="B5" s="12" t="inlineStr">
        <is>
          <t>COST_SAVING</t>
        </is>
      </c>
      <c r="C5" s="12" t="n">
        <v>630000</v>
      </c>
      <c r="D5" s="12" t="n">
        <v>160000</v>
      </c>
      <c r="E5" s="10">
        <f>IFERROR(D5-C5,"")</f>
        <v/>
      </c>
    </row>
    <row r="6">
      <c r="A6" s="12" t="inlineStr">
        <is>
          <t>Eliminated consumption / true-up surprises</t>
        </is>
      </c>
      <c r="B6" s="12" t="inlineStr">
        <is>
          <t>RISK_REDUCTION</t>
        </is>
      </c>
      <c r="C6" s="12" t="n">
        <v>0</v>
      </c>
      <c r="D6" s="12" t="n">
        <v>0</v>
      </c>
      <c r="E6" s="10">
        <f>IFERROR(D6-C6,"")</f>
        <v/>
      </c>
    </row>
    <row r="7">
      <c r="E7" s="10">
        <f>IFERROR(D7-C7,"")</f>
        <v/>
      </c>
    </row>
    <row r="8">
      <c r="E8" s="10">
        <f>IFERROR(D8-C8,"")</f>
        <v/>
      </c>
    </row>
    <row r="9">
      <c r="E9" s="10">
        <f>IFERROR(D9-C9,"")</f>
        <v/>
      </c>
    </row>
    <row r="10">
      <c r="E10" s="10">
        <f>IFERROR(D10-C10,"")</f>
        <v/>
      </c>
    </row>
    <row r="11">
      <c r="E11" s="10">
        <f>IFERROR(D11-C11,"")</f>
        <v/>
      </c>
    </row>
    <row r="12">
      <c r="E12" s="10">
        <f>IFERROR(D12-C12,"")</f>
        <v/>
      </c>
    </row>
    <row r="13">
      <c r="E13" s="10">
        <f>IFERROR(D13-C13,"")</f>
        <v/>
      </c>
    </row>
    <row r="14">
      <c r="E14" s="10">
        <f>IFERROR(D14-C14,"")</f>
        <v/>
      </c>
    </row>
    <row r="15">
      <c r="E15" s="10">
        <f>IFERROR(D15-C15,"")</f>
        <v/>
      </c>
    </row>
    <row r="16">
      <c r="E16" s="10">
        <f>IFERROR(D16-C16,"")</f>
        <v/>
      </c>
    </row>
    <row r="17">
      <c r="E17" s="10">
        <f>IFERROR(D17-C17,"")</f>
        <v/>
      </c>
    </row>
  </sheetData>
  <dataValidations count="2">
    <dataValidation sqref="B10:B17" showDropDown="0" showInputMessage="0" showErrorMessage="0" allowBlank="1" type="list">
      <formula1>BenefitCategory</formula1>
    </dataValidation>
    <dataValidation sqref="B5:B17" showDropDown="0" showInputMessage="0" showErrorMessage="0" allowBlank="1" type="list">
      <formula1>BenefitCategory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Row="0"/>
  <cols>
    <col width="40" customWidth="1" min="1" max="1"/>
    <col width="14" customWidth="1" min="2" max="2"/>
    <col width="12" customWidth="1" min="3" max="4"/>
    <col width="34" customWidth="1" min="5" max="5"/>
    <col width="14" customWidth="1" min="6" max="6"/>
  </cols>
  <sheetData>
    <row r="1">
      <c r="A1" s="1" t="inlineStr">
        <is>
          <t>7 · Risks &amp; issues</t>
        </is>
      </c>
    </row>
    <row r="2">
      <c r="A2" s="2" t="inlineStr">
        <is>
          <t>Risks to realizing value.</t>
        </is>
      </c>
    </row>
    <row r="3"/>
    <row r="4">
      <c r="A4" s="6" t="inlineStr">
        <is>
          <t>Risk / issue</t>
        </is>
      </c>
      <c r="B4" s="6" t="inlineStr">
        <is>
          <t>Likelihood (1–5)</t>
        </is>
      </c>
      <c r="C4" s="6" t="inlineStr">
        <is>
          <t>Impact (1–5)</t>
        </is>
      </c>
      <c r="D4" s="6" t="inlineStr">
        <is>
          <t>Score (auto)</t>
        </is>
      </c>
      <c r="E4" s="6" t="inlineStr">
        <is>
          <t>Mitigation</t>
        </is>
      </c>
      <c r="F4" s="6" t="inlineStr">
        <is>
          <t>Status</t>
        </is>
      </c>
    </row>
    <row r="5">
      <c r="A5" s="12" t="inlineStr">
        <is>
          <t>CMDB migration index performance on large item loads</t>
        </is>
      </c>
      <c r="B5" s="12" t="inlineStr">
        <is>
          <t>3</t>
        </is>
      </c>
      <c r="C5" s="12" t="inlineStr">
        <is>
          <t>3</t>
        </is>
      </c>
      <c r="D5" s="10">
        <f>IFERROR(B5*C5,"")</f>
        <v/>
      </c>
      <c r="E5" s="12" t="inlineStr">
        <is>
          <t>Index tuning; batch loads; discovery re-baseline</t>
        </is>
      </c>
      <c r="F5" s="12" t="inlineStr">
        <is>
          <t>OPEN</t>
        </is>
      </c>
    </row>
    <row r="6">
      <c r="A6" s="12" t="inlineStr">
        <is>
          <t>Integration rebuild backlog slows cutover</t>
        </is>
      </c>
      <c r="B6" s="12" t="inlineStr">
        <is>
          <t>3</t>
        </is>
      </c>
      <c r="C6" s="12" t="inlineStr">
        <is>
          <t>3</t>
        </is>
      </c>
      <c r="D6" s="10">
        <f>IFERROR(B6*C6,"")</f>
        <v/>
      </c>
      <c r="E6" s="12" t="inlineStr">
        <is>
          <t>Prioritise top-10 integrations; iPaaS first</t>
        </is>
      </c>
      <c r="F6" s="12" t="inlineStr">
        <is>
          <t>OPEN</t>
        </is>
      </c>
    </row>
    <row r="7">
      <c r="A7" s="12" t="inlineStr">
        <is>
          <t>Adoption lag vs the familiar incumbent UI</t>
        </is>
      </c>
      <c r="B7" s="12" t="inlineStr">
        <is>
          <t>2</t>
        </is>
      </c>
      <c r="C7" s="12" t="inlineStr">
        <is>
          <t>3</t>
        </is>
      </c>
      <c r="D7" s="10">
        <f>IFERROR(B7*C7,"")</f>
        <v/>
      </c>
      <c r="E7" s="12" t="inlineStr">
        <is>
          <t>GenAI assistant UX; champions; training</t>
        </is>
      </c>
      <c r="F7" s="12" t="inlineStr">
        <is>
          <t>MITIGATING</t>
        </is>
      </c>
    </row>
    <row r="8">
      <c r="A8" s="12" t="inlineStr">
        <is>
          <t>Incumbent decommission slips past renewal date</t>
        </is>
      </c>
      <c r="B8" s="12" t="inlineStr">
        <is>
          <t>2</t>
        </is>
      </c>
      <c r="C8" s="12" t="inlineStr">
        <is>
          <t>4</t>
        </is>
      </c>
      <c r="D8" s="10">
        <f>IFERROR(B8*C8,"")</f>
        <v/>
      </c>
      <c r="E8" s="12" t="inlineStr">
        <is>
          <t>Domain-by-domain cutover; procurement-led exit plan</t>
        </is>
      </c>
      <c r="F8" s="12" t="inlineStr">
        <is>
          <t>OPEN</t>
        </is>
      </c>
    </row>
    <row r="9">
      <c r="D9" s="10">
        <f>IFERROR(B9*C9,"")</f>
        <v/>
      </c>
    </row>
    <row r="10">
      <c r="D10" s="10">
        <f>IFERROR(B10*C10,"")</f>
        <v/>
      </c>
    </row>
    <row r="11">
      <c r="D11" s="10">
        <f>IFERROR(B11*C11,"")</f>
        <v/>
      </c>
    </row>
    <row r="12">
      <c r="D12" s="10">
        <f>IFERROR(B12*C12,"")</f>
        <v/>
      </c>
    </row>
    <row r="13">
      <c r="D13" s="10">
        <f>IFERROR(B13*C13,"")</f>
        <v/>
      </c>
    </row>
    <row r="14">
      <c r="D14" s="10">
        <f>IFERROR(B14*C14,"")</f>
        <v/>
      </c>
    </row>
    <row r="15">
      <c r="D15" s="10">
        <f>IFERROR(B15*C15,"")</f>
        <v/>
      </c>
    </row>
    <row r="16">
      <c r="D16" s="10">
        <f>IFERROR(B16*C16,"")</f>
        <v/>
      </c>
    </row>
    <row r="17">
      <c r="D17" s="10">
        <f>IFERROR(B17*C17,"")</f>
        <v/>
      </c>
    </row>
  </sheetData>
  <dataValidations count="4">
    <dataValidation sqref="B10:C17" showDropDown="0" showInputMessage="0" showErrorMessage="0" allowBlank="1" type="list">
      <formula1>Scale</formula1>
    </dataValidation>
    <dataValidation sqref="B5:C17" showDropDown="0" showInputMessage="0" showErrorMessage="0" allowBlank="1" type="list">
      <formula1>Scale</formula1>
    </dataValidation>
    <dataValidation sqref="F10:F17" showDropDown="0" showInputMessage="0" showErrorMessage="0" allowBlank="1" type="list">
      <formula1>RiskStatus</formula1>
    </dataValidation>
    <dataValidation sqref="F5:F17" showDropDown="0" showInputMessage="0" showErrorMessage="0" allowBlank="1" type="list">
      <formula1>RiskStatus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Row="0"/>
  <cols>
    <col width="34" customWidth="1" min="1" max="1"/>
    <col width="60" customWidth="1" min="2" max="2"/>
  </cols>
  <sheetData>
    <row r="1">
      <c r="A1" s="1" t="inlineStr">
        <is>
          <t>8 · QBR / value review notes</t>
        </is>
      </c>
    </row>
    <row r="2">
      <c r="A2" s="2" t="inlineStr">
        <is>
          <t>Reconcile realized value vs the business case.</t>
        </is>
      </c>
    </row>
    <row r="3"/>
    <row r="4">
      <c r="A4" s="3" t="inlineStr">
        <is>
          <t>Review date</t>
        </is>
      </c>
      <c r="B4" s="8" t="n"/>
    </row>
    <row r="5">
      <c r="A5" s="3" t="inlineStr">
        <is>
          <t>Attendees</t>
        </is>
      </c>
      <c r="B5" s="8" t="n"/>
    </row>
    <row r="6">
      <c r="A6" s="3" t="inlineStr">
        <is>
          <t>Realized vs planned (summary)</t>
        </is>
      </c>
      <c r="B6" s="11" t="inlineStr">
        <is>
          <t>One quarter into realization ~$160K of the $630K annual net saving is banked (incumbent operations-mgmt &amp; AI consumption already off the bill). MTTR down 6.5→4.9h and deflection 18→29% as AIOps and the GenAI assistant come online.</t>
        </is>
      </c>
    </row>
    <row r="7">
      <c r="A7" s="3" t="inlineStr">
        <is>
          <t>Wins</t>
        </is>
      </c>
      <c r="B7" s="11" t="inlineStr">
        <is>
          <t>GenAI assistant live; AIOps cut alert noise ~95%; first two service domains cut over; no consumption overages since migration started.</t>
        </is>
      </c>
    </row>
    <row r="8">
      <c r="A8" s="3" t="inlineStr">
        <is>
          <t>Risks / blockers</t>
        </is>
      </c>
      <c r="B8" s="11" t="inlineStr">
        <is>
          <t>CMDB migration index performance and the integration-rebuild backlog are the critical path to full decommission.</t>
        </is>
      </c>
    </row>
    <row r="9">
      <c r="A9" s="3" t="inlineStr">
        <is>
          <t>Renewal / expansion signal</t>
        </is>
      </c>
      <c r="B9" s="11" t="inlineStr">
        <is>
          <t>Incumbent renewal exit on track; strong signal to extend the platform to security operations and HR service delivery later.</t>
        </is>
      </c>
    </row>
    <row r="10">
      <c r="A10" s="3" t="inlineStr">
        <is>
          <t>Actions &amp; owners</t>
        </is>
      </c>
      <c r="B10" s="11" t="inlineStr">
        <is>
          <t>Finish CMDB cutover — CMDB Lead; prioritise top-10 integrations — Integration Lead; book executive QBR — CSM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 outlineLevelRow="0"/>
  <cols>
    <col width="26" customWidth="1" min="1" max="1"/>
    <col width="40" customWidth="1" min="2" max="3"/>
  </cols>
  <sheetData>
    <row r="1">
      <c r="A1" s="1" t="inlineStr">
        <is>
          <t>9 · Lessons learned</t>
        </is>
      </c>
    </row>
    <row r="2">
      <c r="A2" s="2" t="inlineStr">
        <is>
          <t>Feed improvements back into the VE templates &amp; playbooks.</t>
        </is>
      </c>
    </row>
    <row r="3"/>
    <row r="4">
      <c r="A4" s="6" t="inlineStr">
        <is>
          <t>Category</t>
        </is>
      </c>
      <c r="B4" s="6" t="inlineStr">
        <is>
          <t>Lesson</t>
        </is>
      </c>
      <c r="C4" s="6" t="inlineStr">
        <is>
          <t>Recommendation for next time</t>
        </is>
      </c>
    </row>
    <row r="5">
      <c r="A5" s="12" t="inlineStr">
        <is>
          <t>what_worked</t>
        </is>
      </c>
      <c r="B5" s="12" t="inlineStr">
        <is>
          <t>Coexistence dual-run removed cutover risk and protected SLAs</t>
        </is>
      </c>
      <c r="C5" s="12" t="inlineStr">
        <is>
          <t>Reuse the phased, domain-by-domain displacement playbook</t>
        </is>
      </c>
    </row>
    <row r="6">
      <c r="A6" s="12" t="inlineStr">
        <is>
          <t>watch_out</t>
        </is>
      </c>
      <c r="B6" s="12" t="inlineStr">
        <is>
          <t>Integration rebuild took longer than the licence migration itself</t>
        </is>
      </c>
      <c r="C6" s="12" t="inlineStr">
        <is>
          <t>Start iPaaS/REST integration mapping in week 1, before ITSM config</t>
        </is>
      </c>
    </row>
  </sheetData>
  <dataValidations count="2">
    <dataValidation sqref="A10:A15" showDropDown="0" showInputMessage="0" showErrorMessage="0" allowBlank="1" type="list">
      <formula1>LessonCat</formula1>
    </dataValidation>
    <dataValidation sqref="A5:A15" showDropDown="0" showInputMessage="0" showErrorMessage="0" allowBlank="1" type="list">
      <formula1>LessonCat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Value Lifecycle Platform</dc:creator>
  <dcterms:created xmlns:dcterms="http://purl.org/dc/terms/" xmlns:xsi="http://www.w3.org/2001/XMLSchema-instance" xsi:type="dcterms:W3CDTF">2026-09-16T06:18:33Z</dcterms:created>
  <dcterms:modified xmlns:dcterms="http://purl.org/dc/terms/" xmlns:xsi="http://www.w3.org/2001/XMLSchema-instance" xsi:type="dcterms:W3CDTF">2026-09-16T11:44:21Z</dcterms:modified>
  <cp:lastModifiedBy>Unknown</cp:lastModifiedBy>
</cp:coreProperties>
</file>