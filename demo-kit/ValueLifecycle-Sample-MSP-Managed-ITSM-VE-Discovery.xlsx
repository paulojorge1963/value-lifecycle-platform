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1. Engagement" sheetId="4" state="visible" r:id="rId4"/>
    <sheet xmlns:r="http://schemas.openxmlformats.org/officeDocument/2006/relationships" name="2. Orientation" sheetId="5" state="visible" r:id="rId5"/>
    <sheet xmlns:r="http://schemas.openxmlformats.org/officeDocument/2006/relationships" name="3. Baseline" sheetId="6" state="visible" r:id="rId6"/>
    <sheet xmlns:r="http://schemas.openxmlformats.org/officeDocument/2006/relationships" name="4. Functions" sheetId="7" state="visible" r:id="rId7"/>
    <sheet xmlns:r="http://schemas.openxmlformats.org/officeDocument/2006/relationships" name="5. Alternatives" sheetId="8" state="visible" r:id="rId8"/>
    <sheet xmlns:r="http://schemas.openxmlformats.org/officeDocument/2006/relationships" name="6. Evaluation" sheetId="9" state="visible" r:id="rId9"/>
    <sheet xmlns:r="http://schemas.openxmlformats.org/officeDocument/2006/relationships" name="7. Recommendations" sheetId="10" state="visible" r:id="rId10"/>
    <sheet xmlns:r="http://schemas.openxmlformats.org/officeDocument/2006/relationships" name="8. Business case" sheetId="11" state="visible" r:id="rId11"/>
    <sheet xmlns:r="http://schemas.openxmlformats.org/officeDocument/2006/relationships" name="9. Handover pack" sheetId="12" state="visible" r:id="rId12"/>
    <sheet xmlns:r="http://schemas.openxmlformats.org/officeDocument/2006/relationships" name="10. Risks" sheetId="13" state="visible" r:id="rId13"/>
  </sheets>
  <definedNames>
    <definedName name="SolutionProfiles">'_Lists'!$A$2:$A$5</definedName>
    <definedName name="StudyTypes">_Lists!$B$2:$B$20</definedName>
    <definedName name="CostItemKind">'_Lists'!$C$2:$C$6</definedName>
    <definedName name="BenefitCategory">'_Lists'!$D$2:$D$9</definedName>
    <definedName name="FunctionKind">'_Lists'!$E$2:$E$3</definedName>
    <definedName name="RecommendationStatus">'_Lists'!$F$2:$F$6</definedName>
    <definedName name="YesNo">'_Lists'!$G$2:$G$3</definedName>
    <definedName name="Currencies">'_Lists'!$H$2:$H$9</definedName>
    <definedName name="KpiNames">'_Lists'!$I$2:$I$31</definedName>
    <definedName name="WorkPackageStatus">'_Lists'!$J$2:$J$5</definedName>
    <definedName name="RiskStatus">'_Lists'!$K$2:$K$5</definedName>
    <definedName name="Health">'_Lists'!$L$2:$L$4</definedName>
    <definedName name="Confidence">'_Lists'!$M$2:$M$4</definedName>
    <definedName name="Scale">'_Lists'!$N$2:$N$6</definedName>
    <definedName name="TrackOrigin">'_Lists'!$O$2:$O$3</definedName>
    <definedName name="ArtifactType">'_Lists'!$P$2:$P$6</definedName>
    <definedName name="LessonCat">'_Lists'!$Q$2:$Q$4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E3A8A"/>
      <sz val="15"/>
    </font>
    <font>
      <name val="Calibri"/>
      <i val="1"/>
      <color rgb="FF64748B"/>
      <sz val="10"/>
    </font>
    <font>
      <name val="Calibri"/>
      <b val="1"/>
      <color rgb="FF0F172A"/>
      <sz val="11"/>
    </font>
    <font>
      <name val="Calibri"/>
      <b val="1"/>
      <color rgb="FF1E3A8A"/>
      <sz val="12"/>
    </font>
    <font>
      <name val="Calibri"/>
      <b val="1"/>
      <color rgb="FFFFFFFF"/>
      <sz val="10"/>
    </font>
    <font>
      <name val="Calibri"/>
      <b val="1"/>
      <color rgb="FF0F172A"/>
    </font>
    <font>
      <name val="Calibri"/>
      <i val="1"/>
      <color rgb="FF94A3B8"/>
      <sz val="10"/>
    </font>
    <font>
      <name val="Calibri"/>
      <color rgb="FF0F172A"/>
      <sz val="11"/>
    </font>
  </fonts>
  <fills count="5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92" customWidth="1" min="2" max="2"/>
  </cols>
  <sheetData>
    <row r="1">
      <c r="A1" s="1" t="inlineStr">
        <is>
          <t>Value Lifecycle · VE Discovery Workbook — Read me</t>
        </is>
      </c>
    </row>
    <row r="2">
      <c r="A2" s="2" t="inlineStr">
        <is>
          <t>How to use this workbook, and how each tab maps to the Value Lifecycle Platform.</t>
        </is>
      </c>
    </row>
    <row r="5">
      <c r="A5" s="3" t="inlineStr">
        <is>
          <t>Purpose</t>
        </is>
      </c>
      <c r="B5" s="4" t="inlineStr">
        <is>
          <t>Capture what you learn in client meetings, then transcribe into the app — or import this whole file.</t>
        </is>
      </c>
    </row>
    <row r="6">
      <c r="A6" s="3" t="inlineStr">
        <is>
          <t>Colour key</t>
        </is>
      </c>
      <c r="B6" s="4" t="inlineStr">
        <is>
          <t>Yellow cells = you fill in.   Grey cells = auto-calculated (don't type over them).   Header rows = fixed.</t>
        </is>
      </c>
    </row>
    <row r="7">
      <c r="A7" s="3" t="inlineStr">
        <is>
          <t>Dropdowns</t>
        </is>
      </c>
      <c r="B7" s="4" t="inlineStr">
        <is>
          <t>Cells with a dropdown use the app's own pick-lists (solution profiles, study types, KPIs, currencies, statuses) so entries match the system.</t>
        </is>
      </c>
    </row>
    <row r="8">
      <c r="A8" s="3" t="inlineStr">
        <is>
          <t>Example row</t>
        </is>
      </c>
      <c r="B8" s="4" t="inlineStr">
        <is>
          <t>The first data row of each table is a greyed-italic EXAMPLE of the format — overwrite it or delete it.</t>
        </is>
      </c>
    </row>
    <row r="9">
      <c r="A9" s="3" t="inlineStr">
        <is>
          <t>Provenance</t>
        </is>
      </c>
      <c r="B9" s="4" t="inlineStr">
        <is>
          <t>Wherever you record a number, capture its Source / Period / Assumption / Confidence.</t>
        </is>
      </c>
    </row>
    <row r="10">
      <c r="A10" s="3" t="inlineStr">
        <is>
          <t>Importing</t>
        </is>
      </c>
      <c r="B10" s="4" t="inlineStr">
        <is>
          <t>A study/track can be loaded straight from this file:  npx tsx scripts/import-workbook.ts &lt;file&gt;.xlsx  (add --dry-run to preview).</t>
        </is>
      </c>
    </row>
    <row r="11">
      <c r="A11" s="3" t="inlineStr">
        <is>
          <t>Before you import</t>
        </is>
      </c>
      <c r="B11" s="4" t="inlineStr">
        <is>
          <t>Delete the greyed example row in each table (or add rows beneath it); keep the tab names and column headers unchanged.</t>
        </is>
      </c>
    </row>
    <row r="13">
      <c r="A13" s="5" t="inlineStr">
        <is>
          <t>Tab → App module</t>
        </is>
      </c>
    </row>
    <row r="14">
      <c r="A14" s="3" t="inlineStr">
        <is>
          <t>1. Engagement</t>
        </is>
      </c>
      <c r="B14" t="inlineStr">
        <is>
          <t>New VE study header</t>
        </is>
      </c>
    </row>
    <row r="15">
      <c r="A15" s="3" t="inlineStr">
        <is>
          <t>2. Orientation</t>
        </is>
      </c>
      <c r="B15" t="inlineStr">
        <is>
          <t>Problem, scope, stakeholders, value hypothesis</t>
        </is>
      </c>
    </row>
    <row r="16">
      <c r="A16" s="3" t="inlineStr">
        <is>
          <t>3. Baseline</t>
        </is>
      </c>
      <c r="B16" t="inlineStr">
        <is>
          <t>Current-state cost &amp; pain (with sources)</t>
        </is>
      </c>
    </row>
    <row r="17">
      <c r="A17" s="3" t="inlineStr">
        <is>
          <t>4. Functions</t>
        </is>
      </c>
      <c r="B17" t="inlineStr">
        <is>
          <t>Function analysis — verb/noun, cost, worth</t>
        </is>
      </c>
    </row>
    <row r="18">
      <c r="A18" s="3" t="inlineStr">
        <is>
          <t>5. Alternatives</t>
        </is>
      </c>
      <c r="B18" t="inlineStr">
        <is>
          <t>Creative alternatives (linked to functions)</t>
        </is>
      </c>
    </row>
    <row r="19">
      <c r="A19" s="3" t="inlineStr">
        <is>
          <t>6. Evaluation</t>
        </is>
      </c>
      <c r="B19" t="inlineStr">
        <is>
          <t>Evaluation matrix — criteria, weights, scores</t>
        </is>
      </c>
    </row>
    <row r="20">
      <c r="A20" s="3" t="inlineStr">
        <is>
          <t>7. Recommendations</t>
        </is>
      </c>
      <c r="B20" t="inlineStr">
        <is>
          <t>Developed recommendations</t>
        </is>
      </c>
    </row>
    <row r="21">
      <c r="A21" s="3" t="inlineStr">
        <is>
          <t>8. Business case</t>
        </is>
      </c>
      <c r="B21" t="inlineStr">
        <is>
          <t>Cost/benefit line items + ROI/payback/NPV</t>
        </is>
      </c>
    </row>
    <row r="22">
      <c r="A22" s="3" t="inlineStr">
        <is>
          <t>9. Handover pack</t>
        </is>
      </c>
      <c r="B22" t="inlineStr">
        <is>
          <t>KPIs, baselines, success criteria, expected benefits</t>
        </is>
      </c>
    </row>
    <row r="23">
      <c r="A23" s="3" t="inlineStr">
        <is>
          <t>10. Risks</t>
        </is>
      </c>
      <c r="B23" t="inlineStr">
        <is>
          <t>Study risk register</t>
        </is>
      </c>
    </row>
    <row r="24">
      <c r="A24" s="3" t="inlineStr">
        <is>
          <t>Reference</t>
        </is>
      </c>
      <c r="B24" t="inlineStr">
        <is>
          <t>KPI catalogue + per-profile drivers &amp; levers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2"/>
    <col width="10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Reference — KPI catalogue &amp; profile prompts</t>
        </is>
      </c>
    </row>
    <row r="2">
      <c r="A2" s="2" t="inlineStr">
        <is>
          <t>Pick-list prompts from the app. Use these to fill the dropdowns and shape the conversation.</t>
        </is>
      </c>
    </row>
    <row r="4">
      <c r="A4" s="6" t="inlineStr">
        <is>
          <t>KPI key</t>
        </is>
      </c>
      <c r="B4" s="6" t="inlineStr">
        <is>
          <t>KPI name</t>
        </is>
      </c>
      <c r="C4" s="6" t="inlineStr">
        <is>
          <t>Unit</t>
        </is>
      </c>
      <c r="D4" s="6" t="inlineStr">
        <is>
          <t>Direction</t>
        </is>
      </c>
      <c r="E4" s="6" t="inlineStr">
        <is>
          <t>Discipline</t>
        </is>
      </c>
      <c r="F4" s="6" t="inlineStr">
        <is>
          <t>Category</t>
        </is>
      </c>
    </row>
    <row r="5">
      <c r="A5" t="inlineStr">
        <is>
          <t>cost_savings</t>
        </is>
      </c>
      <c r="B5" t="inlineStr">
        <is>
          <t>Estimated / realized cost savings</t>
        </is>
      </c>
      <c r="C5" t="inlineStr">
        <is>
          <t>USD</t>
        </is>
      </c>
      <c r="D5" t="inlineStr">
        <is>
          <t>HIGHER_IS_BETTER</t>
        </is>
      </c>
      <c r="E5" t="inlineStr">
        <is>
          <t>VE</t>
        </is>
      </c>
      <c r="F5" t="inlineStr">
        <is>
          <t>COST_SAVING</t>
        </is>
      </c>
    </row>
    <row r="6">
      <c r="A6" t="inlineStr">
        <is>
          <t>roi_pct</t>
        </is>
      </c>
      <c r="B6" t="inlineStr">
        <is>
          <t>Return on investment</t>
        </is>
      </c>
      <c r="C6" t="inlineStr">
        <is>
          <t>%</t>
        </is>
      </c>
      <c r="D6" t="inlineStr">
        <is>
          <t>HIGHER_IS_BETTER</t>
        </is>
      </c>
      <c r="E6" t="inlineStr">
        <is>
          <t>VE</t>
        </is>
      </c>
      <c r="F6" t="inlineStr">
        <is>
          <t>COST_SAVING</t>
        </is>
      </c>
    </row>
    <row r="7">
      <c r="A7" t="inlineStr">
        <is>
          <t>payback_period</t>
        </is>
      </c>
      <c r="B7" t="inlineStr">
        <is>
          <t>Payback period</t>
        </is>
      </c>
      <c r="C7" t="inlineStr">
        <is>
          <t>months</t>
        </is>
      </c>
      <c r="D7" t="inlineStr">
        <is>
          <t>LOWER_IS_BETTER</t>
        </is>
      </c>
      <c r="E7" t="inlineStr">
        <is>
          <t>VE</t>
        </is>
      </c>
      <c r="F7" t="inlineStr">
        <is>
          <t>COST_SAVING</t>
        </is>
      </c>
    </row>
    <row r="8">
      <c r="A8" t="inlineStr">
        <is>
          <t>revenue_uplift</t>
        </is>
      </c>
      <c r="B8" t="inlineStr">
        <is>
          <t>Revenue uplift</t>
        </is>
      </c>
      <c r="C8" t="inlineStr">
        <is>
          <t>USD</t>
        </is>
      </c>
      <c r="D8" t="inlineStr">
        <is>
          <t>HIGHER_IS_BETTER</t>
        </is>
      </c>
      <c r="E8" t="inlineStr">
        <is>
          <t>VR</t>
        </is>
      </c>
      <c r="F8" t="inlineStr">
        <is>
          <t>REVENUE_UPLIFT</t>
        </is>
      </c>
    </row>
    <row r="9">
      <c r="A9" t="inlineStr">
        <is>
          <t>alternatives_generated</t>
        </is>
      </c>
      <c r="B9" t="inlineStr">
        <is>
          <t>Alternatives generated</t>
        </is>
      </c>
      <c r="C9" t="inlineStr">
        <is>
          <t>count</t>
        </is>
      </c>
      <c r="D9" t="inlineStr">
        <is>
          <t>HIGHER_IS_BETTER</t>
        </is>
      </c>
      <c r="E9" t="inlineStr">
        <is>
          <t>VE</t>
        </is>
      </c>
      <c r="F9" t="inlineStr">
        <is>
          <t>OTHER</t>
        </is>
      </c>
    </row>
    <row r="10">
      <c r="A10" t="inlineStr">
        <is>
          <t>recommendations_accepted</t>
        </is>
      </c>
      <c r="B10" t="inlineStr">
        <is>
          <t>Recommendations accepted</t>
        </is>
      </c>
      <c r="C10" t="inlineStr">
        <is>
          <t>count</t>
        </is>
      </c>
      <c r="D10" t="inlineStr">
        <is>
          <t>HIGHER_IS_BETTER</t>
        </is>
      </c>
      <c r="E10" t="inlineStr">
        <is>
          <t>VE</t>
        </is>
      </c>
      <c r="F10" t="inlineStr">
        <is>
          <t>OTHER</t>
        </is>
      </c>
    </row>
    <row r="11">
      <c r="A11" t="inlineStr">
        <is>
          <t>study_cycle_time</t>
        </is>
      </c>
      <c r="B11" t="inlineStr">
        <is>
          <t>Study cycle time</t>
        </is>
      </c>
      <c r="C11" t="inlineStr">
        <is>
          <t>days</t>
        </is>
      </c>
      <c r="D11" t="inlineStr">
        <is>
          <t>LOWER_IS_BETTER</t>
        </is>
      </c>
      <c r="E11" t="inlineStr">
        <is>
          <t>VE</t>
        </is>
      </c>
      <c r="F11" t="inlineStr">
        <is>
          <t>TIME_SAVING</t>
        </is>
      </c>
    </row>
    <row r="12">
      <c r="A12" t="inlineStr">
        <is>
          <t>avg_roi</t>
        </is>
      </c>
      <c r="B12" t="inlineStr">
        <is>
          <t>Average ROI per study</t>
        </is>
      </c>
      <c r="C12" t="inlineStr">
        <is>
          <t>%</t>
        </is>
      </c>
      <c r="D12" t="inlineStr">
        <is>
          <t>HIGHER_IS_BETTER</t>
        </is>
      </c>
      <c r="E12" t="inlineStr">
        <is>
          <t>VE</t>
        </is>
      </c>
      <c r="F12" t="inlineStr">
        <is>
          <t>COST_SAVING</t>
        </is>
      </c>
    </row>
    <row r="13">
      <c r="A13" t="inlineStr">
        <is>
          <t>on_time_implementation</t>
        </is>
      </c>
      <c r="B13" t="inlineStr">
        <is>
          <t>On-time implementation</t>
        </is>
      </c>
      <c r="C13" t="inlineStr">
        <is>
          <t>%</t>
        </is>
      </c>
      <c r="D13" t="inlineStr">
        <is>
          <t>HIGHER_IS_BETTER</t>
        </is>
      </c>
      <c r="E13" t="inlineStr">
        <is>
          <t>VR</t>
        </is>
      </c>
      <c r="F13" t="inlineStr">
        <is>
          <t>SCHEDULE</t>
        </is>
      </c>
    </row>
    <row r="14">
      <c r="A14" t="inlineStr">
        <is>
          <t>adoption_rate</t>
        </is>
      </c>
      <c r="B14" t="inlineStr">
        <is>
          <t>Adoption rate</t>
        </is>
      </c>
      <c r="C14" t="inlineStr">
        <is>
          <t>%</t>
        </is>
      </c>
      <c r="D14" t="inlineStr">
        <is>
          <t>HIGHER_IS_BETTER</t>
        </is>
      </c>
      <c r="E14" t="inlineStr">
        <is>
          <t>VR</t>
        </is>
      </c>
      <c r="F14" t="inlineStr">
        <is>
          <t>OTHER</t>
        </is>
      </c>
    </row>
    <row r="15">
      <c r="A15" t="inlineStr">
        <is>
          <t>task_utilization</t>
        </is>
      </c>
      <c r="B15" t="inlineStr">
        <is>
          <t>Licence / capacity utilization</t>
        </is>
      </c>
      <c r="C15" t="inlineStr">
        <is>
          <t>%</t>
        </is>
      </c>
      <c r="D15" t="inlineStr">
        <is>
          <t>HIGHER_IS_BETTER</t>
        </is>
      </c>
      <c r="E15" t="inlineStr">
        <is>
          <t>VR</t>
        </is>
      </c>
      <c r="F15" t="inlineStr">
        <is>
          <t>COST_SAVING</t>
        </is>
      </c>
    </row>
    <row r="16">
      <c r="A16" t="inlineStr">
        <is>
          <t>time_to_value</t>
        </is>
      </c>
      <c r="B16" t="inlineStr">
        <is>
          <t>Time-to-value</t>
        </is>
      </c>
      <c r="C16" t="inlineStr">
        <is>
          <t>days</t>
        </is>
      </c>
      <c r="D16" t="inlineStr">
        <is>
          <t>LOWER_IS_BETTER</t>
        </is>
      </c>
      <c r="E16" t="inlineStr">
        <is>
          <t>VR</t>
        </is>
      </c>
      <c r="F16" t="inlineStr">
        <is>
          <t>TIME_SAVING</t>
        </is>
      </c>
    </row>
    <row r="17">
      <c r="A17" t="inlineStr">
        <is>
          <t>dev_productivity</t>
        </is>
      </c>
      <c r="B17" t="inlineStr">
        <is>
          <t>Developer productivity</t>
        </is>
      </c>
      <c r="C17" t="inlineStr">
        <is>
          <t>index</t>
        </is>
      </c>
      <c r="D17" t="inlineStr">
        <is>
          <t>HIGHER_IS_BETTER</t>
        </is>
      </c>
      <c r="E17" t="inlineStr">
        <is>
          <t>VR</t>
        </is>
      </c>
      <c r="F17" t="inlineStr">
        <is>
          <t>TIME_SAVING</t>
        </is>
      </c>
    </row>
    <row r="18">
      <c r="A18" t="inlineStr">
        <is>
          <t>onboarding_time</t>
        </is>
      </c>
      <c r="B18" t="inlineStr">
        <is>
          <t>New-developer onboarding time</t>
        </is>
      </c>
      <c r="C18" t="inlineStr">
        <is>
          <t>months</t>
        </is>
      </c>
      <c r="D18" t="inlineStr">
        <is>
          <t>LOWER_IS_BETTER</t>
        </is>
      </c>
      <c r="E18" t="inlineStr">
        <is>
          <t>VR</t>
        </is>
      </c>
      <c r="F18" t="inlineStr">
        <is>
          <t>TIME_SAVING</t>
        </is>
      </c>
    </row>
    <row r="19">
      <c r="A19" t="inlineStr">
        <is>
          <t>realized_value</t>
        </is>
      </c>
      <c r="B19" t="inlineStr">
        <is>
          <t>Realized value</t>
        </is>
      </c>
      <c r="C19" t="inlineStr">
        <is>
          <t>USD</t>
        </is>
      </c>
      <c r="D19" t="inlineStr">
        <is>
          <t>HIGHER_IS_BETTER</t>
        </is>
      </c>
      <c r="E19" t="inlineStr">
        <is>
          <t>VR</t>
        </is>
      </c>
      <c r="F19" t="inlineStr">
        <is>
          <t>COST_SAVING</t>
        </is>
      </c>
    </row>
    <row r="20">
      <c r="A20" t="inlineStr">
        <is>
          <t>net_variance</t>
        </is>
      </c>
      <c r="B20" t="inlineStr">
        <is>
          <t>Planned vs realized variance</t>
        </is>
      </c>
      <c r="C20" t="inlineStr">
        <is>
          <t>%</t>
        </is>
      </c>
      <c r="D20" t="inlineStr">
        <is>
          <t>HIGHER_IS_BETTER</t>
        </is>
      </c>
      <c r="E20" t="inlineStr">
        <is>
          <t>VR</t>
        </is>
      </c>
      <c r="F20" t="inlineStr">
        <is>
          <t>OTHER</t>
        </is>
      </c>
    </row>
    <row r="21">
      <c r="A21" t="inlineStr">
        <is>
          <t>reports_delivered</t>
        </is>
      </c>
      <c r="B21" t="inlineStr">
        <is>
          <t>Value reports / QBRs delivered</t>
        </is>
      </c>
      <c r="C21" t="inlineStr">
        <is>
          <t>count</t>
        </is>
      </c>
      <c r="D21" t="inlineStr">
        <is>
          <t>HIGHER_IS_BETTER</t>
        </is>
      </c>
      <c r="E21" t="inlineStr">
        <is>
          <t>VR</t>
        </is>
      </c>
      <c r="F21" t="inlineStr">
        <is>
          <t>OTHER</t>
        </is>
      </c>
    </row>
    <row r="22">
      <c r="A22" t="inlineStr">
        <is>
          <t>total_realized_value</t>
        </is>
      </c>
      <c r="B22" t="inlineStr">
        <is>
          <t>Total realized value (portfolio)</t>
        </is>
      </c>
      <c r="C22" t="inlineStr">
        <is>
          <t>USD</t>
        </is>
      </c>
      <c r="D22" t="inlineStr">
        <is>
          <t>HIGHER_IS_BETTER</t>
        </is>
      </c>
      <c r="E22" t="inlineStr">
        <is>
          <t>VR</t>
        </is>
      </c>
      <c r="F22" t="inlineStr">
        <is>
          <t>COST_SAVING</t>
        </is>
      </c>
    </row>
    <row r="23">
      <c r="A23" t="inlineStr">
        <is>
          <t>template_reuse_rate</t>
        </is>
      </c>
      <c r="B23" t="inlineStr">
        <is>
          <t>Template / plan reuse rate</t>
        </is>
      </c>
      <c r="C23" t="inlineStr">
        <is>
          <t>%</t>
        </is>
      </c>
      <c r="D23" t="inlineStr">
        <is>
          <t>HIGHER_IS_BETTER</t>
        </is>
      </c>
      <c r="E23" t="inlineStr">
        <is>
          <t>VR</t>
        </is>
      </c>
      <c r="F23" t="inlineStr">
        <is>
          <t>OTHER</t>
        </is>
      </c>
    </row>
    <row r="24">
      <c r="A24" t="inlineStr">
        <is>
          <t>schedule_impact_days</t>
        </is>
      </c>
      <c r="B24" t="inlineStr">
        <is>
          <t>Schedule impact</t>
        </is>
      </c>
      <c r="C24" t="inlineStr">
        <is>
          <t>days</t>
        </is>
      </c>
      <c r="D24" t="inlineStr">
        <is>
          <t>LOWER_IS_BETTER</t>
        </is>
      </c>
      <c r="E24" t="inlineStr">
        <is>
          <t>VE</t>
        </is>
      </c>
      <c r="F24" t="inlineStr">
        <is>
          <t>SCHEDULE</t>
        </is>
      </c>
    </row>
    <row r="25">
      <c r="A25" t="inlineStr">
        <is>
          <t>lcc_reduction</t>
        </is>
      </c>
      <c r="B25" t="inlineStr">
        <is>
          <t>Life-cycle cost reduction</t>
        </is>
      </c>
      <c r="C25" t="inlineStr">
        <is>
          <t>USD</t>
        </is>
      </c>
      <c r="D25" t="inlineStr">
        <is>
          <t>HIGHER_IS_BETTER</t>
        </is>
      </c>
      <c r="E25" t="inlineStr">
        <is>
          <t>VE</t>
        </is>
      </c>
      <c r="F25" t="inlineStr">
        <is>
          <t>COST_SAVING</t>
        </is>
      </c>
    </row>
    <row r="26">
      <c r="A26" t="inlineStr">
        <is>
          <t>reliability_uptime</t>
        </is>
      </c>
      <c r="B26" t="inlineStr">
        <is>
          <t>Reliability / uptime</t>
        </is>
      </c>
      <c r="C26" t="inlineStr">
        <is>
          <t>%</t>
        </is>
      </c>
      <c r="D26" t="inlineStr">
        <is>
          <t>HIGHER_IS_BETTER</t>
        </is>
      </c>
      <c r="E26" t="inlineStr">
        <is>
          <t>VR</t>
        </is>
      </c>
      <c r="F26" t="inlineStr">
        <is>
          <t>RELIABILITY</t>
        </is>
      </c>
    </row>
    <row r="27">
      <c r="A27" t="inlineStr">
        <is>
          <t>unit_cost_reduction</t>
        </is>
      </c>
      <c r="B27" t="inlineStr">
        <is>
          <t>Unit cost reduction</t>
        </is>
      </c>
      <c r="C27" t="inlineStr">
        <is>
          <t>USD</t>
        </is>
      </c>
      <c r="D27" t="inlineStr">
        <is>
          <t>HIGHER_IS_BETTER</t>
        </is>
      </c>
      <c r="E27" t="inlineStr">
        <is>
          <t>VE</t>
        </is>
      </c>
      <c r="F27" t="inlineStr">
        <is>
          <t>COST_SAVING</t>
        </is>
      </c>
    </row>
    <row r="28">
      <c r="A28" t="inlineStr">
        <is>
          <t>first_pass_yield</t>
        </is>
      </c>
      <c r="B28" t="inlineStr">
        <is>
          <t>First pass yield</t>
        </is>
      </c>
      <c r="C28" t="inlineStr">
        <is>
          <t>%</t>
        </is>
      </c>
      <c r="D28" t="inlineStr">
        <is>
          <t>HIGHER_IS_BETTER</t>
        </is>
      </c>
      <c r="E28" t="inlineStr">
        <is>
          <t>VR</t>
        </is>
      </c>
      <c r="F28" t="inlineStr">
        <is>
          <t>QUALITY</t>
        </is>
      </c>
    </row>
    <row r="29">
      <c r="A29" t="inlineStr">
        <is>
          <t>mainframe_cost</t>
        </is>
      </c>
      <c r="B29" t="inlineStr">
        <is>
          <t>Mainframe cost reduction (MLC / MSU)</t>
        </is>
      </c>
      <c r="C29" t="inlineStr">
        <is>
          <t>USD</t>
        </is>
      </c>
      <c r="D29" t="inlineStr">
        <is>
          <t>HIGHER_IS_BETTER</t>
        </is>
      </c>
      <c r="E29" t="inlineStr">
        <is>
          <t>VE</t>
        </is>
      </c>
      <c r="F29" t="inlineStr">
        <is>
          <t>COST_SAVING</t>
        </is>
      </c>
    </row>
    <row r="30">
      <c r="A30" t="inlineStr">
        <is>
          <t>mttr</t>
        </is>
      </c>
      <c r="B30" t="inlineStr">
        <is>
          <t>Mean time to resolve (MTTR)</t>
        </is>
      </c>
      <c r="C30" t="inlineStr">
        <is>
          <t>hours</t>
        </is>
      </c>
      <c r="D30" t="inlineStr">
        <is>
          <t>LOWER_IS_BETTER</t>
        </is>
      </c>
      <c r="E30" t="inlineStr">
        <is>
          <t>VR</t>
        </is>
      </c>
      <c r="F30" t="inlineStr">
        <is>
          <t>RELIABILITY</t>
        </is>
      </c>
    </row>
    <row r="31">
      <c r="A31" t="inlineStr">
        <is>
          <t>job_success_rate</t>
        </is>
      </c>
      <c r="B31" t="inlineStr">
        <is>
          <t>Job success rate</t>
        </is>
      </c>
      <c r="C31" t="inlineStr">
        <is>
          <t>%</t>
        </is>
      </c>
      <c r="D31" t="inlineStr">
        <is>
          <t>HIGHER_IS_BETTER</t>
        </is>
      </c>
      <c r="E31" t="inlineStr">
        <is>
          <t>VR</t>
        </is>
      </c>
      <c r="F31" t="inlineStr">
        <is>
          <t>RELIABILITY</t>
        </is>
      </c>
    </row>
    <row r="32">
      <c r="A32" t="inlineStr">
        <is>
          <t>sla_attainment</t>
        </is>
      </c>
      <c r="B32" t="inlineStr">
        <is>
          <t>SLA attainment</t>
        </is>
      </c>
      <c r="C32" t="inlineStr">
        <is>
          <t>%</t>
        </is>
      </c>
      <c r="D32" t="inlineStr">
        <is>
          <t>HIGHER_IS_BETTER</t>
        </is>
      </c>
      <c r="E32" t="inlineStr">
        <is>
          <t>VR</t>
        </is>
      </c>
      <c r="F32" t="inlineStr">
        <is>
          <t>RELIABILITY</t>
        </is>
      </c>
    </row>
    <row r="33">
      <c r="A33" t="inlineStr">
        <is>
          <t>ticket_deflection</t>
        </is>
      </c>
      <c r="B33" t="inlineStr">
        <is>
          <t>Ticket deflection rate</t>
        </is>
      </c>
      <c r="C33" t="inlineStr">
        <is>
          <t>%</t>
        </is>
      </c>
      <c r="D33" t="inlineStr">
        <is>
          <t>HIGHER_IS_BETTER</t>
        </is>
      </c>
      <c r="E33" t="inlineStr">
        <is>
          <t>VR</t>
        </is>
      </c>
      <c r="F33" t="inlineStr">
        <is>
          <t>COST_SAVING</t>
        </is>
      </c>
    </row>
    <row r="34">
      <c r="A34" t="inlineStr">
        <is>
          <t>first_contact_resolution</t>
        </is>
      </c>
      <c r="B34" t="inlineStr">
        <is>
          <t>First-contact resolution</t>
        </is>
      </c>
      <c r="C34" t="inlineStr">
        <is>
          <t>%</t>
        </is>
      </c>
      <c r="D34" t="inlineStr">
        <is>
          <t>HIGHER_IS_BETTER</t>
        </is>
      </c>
      <c r="E34" t="inlineStr">
        <is>
          <t>VR</t>
        </is>
      </c>
      <c r="F34" t="inlineStr">
        <is>
          <t>QUALITY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SolutionProfiles</t>
        </is>
      </c>
      <c r="B1" t="inlineStr">
        <is>
          <t>StudyTypes</t>
        </is>
      </c>
      <c r="C1" t="inlineStr">
        <is>
          <t>CostItemKind</t>
        </is>
      </c>
      <c r="D1" t="inlineStr">
        <is>
          <t>BenefitCategory</t>
        </is>
      </c>
      <c r="E1" t="inlineStr">
        <is>
          <t>FunctionKind</t>
        </is>
      </c>
      <c r="F1" t="inlineStr">
        <is>
          <t>RecommendationStatus</t>
        </is>
      </c>
      <c r="G1" t="inlineStr">
        <is>
          <t>YesNo</t>
        </is>
      </c>
      <c r="H1" t="inlineStr">
        <is>
          <t>Currencies</t>
        </is>
      </c>
      <c r="I1" t="inlineStr">
        <is>
          <t>KpiNames</t>
        </is>
      </c>
      <c r="J1" t="inlineStr">
        <is>
          <t>WorkPackageStatus</t>
        </is>
      </c>
      <c r="K1" t="inlineStr">
        <is>
          <t>RiskStatus</t>
        </is>
      </c>
      <c r="L1" t="inlineStr">
        <is>
          <t>Health</t>
        </is>
      </c>
      <c r="M1" t="inlineStr">
        <is>
          <t>Confidence</t>
        </is>
      </c>
      <c r="N1" t="inlineStr">
        <is>
          <t>Scale</t>
        </is>
      </c>
      <c r="O1" t="inlineStr">
        <is>
          <t>TrackOrigin</t>
        </is>
      </c>
      <c r="P1" t="inlineStr">
        <is>
          <t>ArtifactType</t>
        </is>
      </c>
      <c r="Q1" t="inlineStr">
        <is>
          <t>LessonCat</t>
        </is>
      </c>
    </row>
    <row r="2">
      <c r="A2" t="inlineStr">
        <is>
          <t>automation</t>
        </is>
      </c>
      <c r="B2" t="inlineStr">
        <is>
          <t>Adoption &amp; value-realization study</t>
        </is>
      </c>
      <c r="C2" t="inlineStr">
        <is>
          <t>CAPEX</t>
        </is>
      </c>
      <c r="D2" t="inlineStr">
        <is>
          <t>COST_SAVING</t>
        </is>
      </c>
      <c r="E2" t="inlineStr">
        <is>
          <t>BASIC</t>
        </is>
      </c>
      <c r="F2" t="inlineStr">
        <is>
          <t>PROPOSED</t>
        </is>
      </c>
      <c r="G2" t="inlineStr">
        <is>
          <t>Yes</t>
        </is>
      </c>
      <c r="H2" t="inlineStr">
        <is>
          <t>USD</t>
        </is>
      </c>
      <c r="I2" t="inlineStr">
        <is>
          <t>Estimated / realized cost savings</t>
        </is>
      </c>
      <c r="J2" t="inlineStr">
        <is>
          <t>NOT_STARTED</t>
        </is>
      </c>
      <c r="K2" t="inlineStr">
        <is>
          <t>OPEN</t>
        </is>
      </c>
      <c r="L2" t="inlineStr">
        <is>
          <t>GREEN</t>
        </is>
      </c>
      <c r="M2" t="inlineStr">
        <is>
          <t>High</t>
        </is>
      </c>
      <c r="N2" t="inlineStr">
        <is>
          <t>1</t>
        </is>
      </c>
      <c r="O2" t="inlineStr">
        <is>
          <t>STANDALONE (existing software)</t>
        </is>
      </c>
      <c r="P2" t="inlineStr">
        <is>
          <t>EXPECTED_BENEFIT</t>
        </is>
      </c>
      <c r="Q2" t="inlineStr">
        <is>
          <t>what_worked</t>
        </is>
      </c>
    </row>
    <row r="3">
      <c r="A3" t="inlineStr">
        <is>
          <t>mainframe</t>
        </is>
      </c>
      <c r="B3" t="inlineStr">
        <is>
          <t>Automation value study</t>
        </is>
      </c>
      <c r="C3" t="inlineStr">
        <is>
          <t>OPEX</t>
        </is>
      </c>
      <c r="D3" t="inlineStr">
        <is>
          <t>REVENUE_UPLIFT</t>
        </is>
      </c>
      <c r="E3" t="inlineStr">
        <is>
          <t>SECONDARY</t>
        </is>
      </c>
      <c r="F3" t="inlineStr">
        <is>
          <t>SHORTLISTED</t>
        </is>
      </c>
      <c r="G3" t="inlineStr">
        <is>
          <t>No</t>
        </is>
      </c>
      <c r="H3" t="inlineStr">
        <is>
          <t>ZAR</t>
        </is>
      </c>
      <c r="I3" t="inlineStr">
        <is>
          <t>Return on investment</t>
        </is>
      </c>
      <c r="J3" t="inlineStr">
        <is>
          <t>IN_PROGRESS</t>
        </is>
      </c>
      <c r="K3" t="inlineStr">
        <is>
          <t>MITIGATING</t>
        </is>
      </c>
      <c r="L3" t="inlineStr">
        <is>
          <t>AMBER</t>
        </is>
      </c>
      <c r="M3" t="inlineStr">
        <is>
          <t>Medium</t>
        </is>
      </c>
      <c r="N3" t="inlineStr">
        <is>
          <t>2</t>
        </is>
      </c>
      <c r="O3" t="inlineStr">
        <is>
          <t>VE_HANDOVER (from a study)</t>
        </is>
      </c>
      <c r="P3" t="inlineStr">
        <is>
          <t>SUCCESS_CRITERION</t>
        </is>
      </c>
      <c r="Q3" t="inlineStr">
        <is>
          <t>what_to_change</t>
        </is>
      </c>
    </row>
    <row r="4">
      <c r="A4" t="inlineStr">
        <is>
          <t>serviceops</t>
        </is>
      </c>
      <c r="B4" t="inlineStr">
        <is>
          <t>Availability &amp; resilience review</t>
        </is>
      </c>
      <c r="C4" t="inlineStr">
        <is>
          <t>ONE_OFF</t>
        </is>
      </c>
      <c r="D4" t="inlineStr">
        <is>
          <t>RISK_REDUCTION</t>
        </is>
      </c>
      <c r="F4" t="inlineStr">
        <is>
          <t>ACCEPTED</t>
        </is>
      </c>
      <c r="H4" t="inlineStr">
        <is>
          <t>EUR</t>
        </is>
      </c>
      <c r="I4" t="inlineStr">
        <is>
          <t>Payback period</t>
        </is>
      </c>
      <c r="J4" t="inlineStr">
        <is>
          <t>BLOCKED</t>
        </is>
      </c>
      <c r="K4" t="inlineStr">
        <is>
          <t>CLOSED</t>
        </is>
      </c>
      <c r="L4" t="inlineStr">
        <is>
          <t>RED</t>
        </is>
      </c>
      <c r="M4" t="inlineStr">
        <is>
          <t>Low</t>
        </is>
      </c>
      <c r="N4" t="inlineStr">
        <is>
          <t>3</t>
        </is>
      </c>
      <c r="P4" t="inlineStr">
        <is>
          <t>BASELINE</t>
        </is>
      </c>
      <c r="Q4" t="inlineStr">
        <is>
          <t>recommendation_for_ve</t>
        </is>
      </c>
    </row>
    <row r="5">
      <c r="A5" t="inlineStr">
        <is>
          <t>reseller</t>
        </is>
      </c>
      <c r="B5" t="inlineStr">
        <is>
          <t>Build-vs-buy business case</t>
        </is>
      </c>
      <c r="C5" t="inlineStr">
        <is>
          <t>RECURRING</t>
        </is>
      </c>
      <c r="D5" t="inlineStr">
        <is>
          <t>TIME_SAVING</t>
        </is>
      </c>
      <c r="F5" t="inlineStr">
        <is>
          <t>REJECTED</t>
        </is>
      </c>
      <c r="H5" t="inlineStr">
        <is>
          <t>GBP</t>
        </is>
      </c>
      <c r="I5" t="inlineStr">
        <is>
          <t>Revenue uplift</t>
        </is>
      </c>
      <c r="J5" t="inlineStr">
        <is>
          <t>DONE</t>
        </is>
      </c>
      <c r="K5" t="inlineStr">
        <is>
          <t>ACCEPTED</t>
        </is>
      </c>
      <c r="N5" t="inlineStr">
        <is>
          <t>4</t>
        </is>
      </c>
      <c r="P5" t="inlineStr">
        <is>
          <t>KPI</t>
        </is>
      </c>
    </row>
    <row r="6">
      <c r="B6" t="inlineStr">
        <is>
          <t>Capacity &amp; cost forecasting study</t>
        </is>
      </c>
      <c r="C6" t="inlineStr">
        <is>
          <t>BENEFIT</t>
        </is>
      </c>
      <c r="D6" t="inlineStr">
        <is>
          <t>QUALITY</t>
        </is>
      </c>
      <c r="F6" t="inlineStr">
        <is>
          <t>DEFERRED</t>
        </is>
      </c>
      <c r="H6" t="inlineStr">
        <is>
          <t>AUD</t>
        </is>
      </c>
      <c r="I6" t="inlineStr">
        <is>
          <t>Alternatives generated</t>
        </is>
      </c>
      <c r="N6" t="inlineStr">
        <is>
          <t>5</t>
        </is>
      </c>
      <c r="P6" t="inlineStr">
        <is>
          <t>RISK</t>
        </is>
      </c>
    </row>
    <row r="7">
      <c r="B7" t="inlineStr">
        <is>
          <t>Cloud migration / modernization TCO case</t>
        </is>
      </c>
      <c r="D7" t="inlineStr">
        <is>
          <t>SCHEDULE</t>
        </is>
      </c>
      <c r="H7" t="inlineStr">
        <is>
          <t>NGN</t>
        </is>
      </c>
      <c r="I7" t="inlineStr">
        <is>
          <t>Recommendations accepted</t>
        </is>
      </c>
    </row>
    <row r="8">
      <c r="B8" t="inlineStr">
        <is>
          <t>Competitive displacement / TCO case</t>
        </is>
      </c>
      <c r="D8" t="inlineStr">
        <is>
          <t>RELIABILITY</t>
        </is>
      </c>
      <c r="H8" t="inlineStr">
        <is>
          <t>KES</t>
        </is>
      </c>
      <c r="I8" t="inlineStr">
        <is>
          <t>Study cycle time</t>
        </is>
      </c>
    </row>
    <row r="9">
      <c r="B9" t="inlineStr">
        <is>
          <t>Consolidation case (tool / licence)</t>
        </is>
      </c>
      <c r="D9" t="inlineStr">
        <is>
          <t>OTHER</t>
        </is>
      </c>
      <c r="H9" t="inlineStr">
        <is>
          <t>BWP</t>
        </is>
      </c>
      <c r="I9" t="inlineStr">
        <is>
          <t>Average ROI per study</t>
        </is>
      </c>
    </row>
    <row r="10">
      <c r="B10" t="inlineStr">
        <is>
          <t>Continuous optimization / cost case</t>
        </is>
      </c>
      <c r="I10" t="inlineStr">
        <is>
          <t>On-time implementation</t>
        </is>
      </c>
    </row>
    <row r="11">
      <c r="B11" t="inlineStr">
        <is>
          <t>Cost-optimization study</t>
        </is>
      </c>
      <c r="I11" t="inlineStr">
        <is>
          <t>Adoption rate</t>
        </is>
      </c>
    </row>
    <row r="12">
      <c r="B12" t="inlineStr">
        <is>
          <t>ITSM value / TCO study</t>
        </is>
      </c>
      <c r="I12" t="inlineStr">
        <is>
          <t>Licence / capacity utilization</t>
        </is>
      </c>
    </row>
    <row r="13">
      <c r="B13" t="inlineStr">
        <is>
          <t>Managed-service (MSP) migration case</t>
        </is>
      </c>
      <c r="I13" t="inlineStr">
        <is>
          <t>Time-to-value</t>
        </is>
      </c>
    </row>
    <row r="14">
      <c r="B14" t="inlineStr">
        <is>
          <t>Proof-of-value (PoV) outcome study</t>
        </is>
      </c>
      <c r="I14" t="inlineStr">
        <is>
          <t>Developer productivity</t>
        </is>
      </c>
    </row>
    <row r="15">
      <c r="B15" t="inlineStr">
        <is>
          <t>Renewal &amp; expansion case</t>
        </is>
      </c>
      <c r="I15" t="inlineStr">
        <is>
          <t>New-developer onboarding time</t>
        </is>
      </c>
    </row>
    <row r="16">
      <c r="B16" t="inlineStr">
        <is>
          <t>ROI / TCO business case</t>
        </is>
      </c>
      <c r="I16" t="inlineStr">
        <is>
          <t>Realized value</t>
        </is>
      </c>
    </row>
    <row r="17">
      <c r="B17" t="inlineStr">
        <is>
          <t>SaaS migration case</t>
        </is>
      </c>
      <c r="I17" t="inlineStr">
        <is>
          <t>Planned vs realized variance</t>
        </is>
      </c>
    </row>
    <row r="18">
      <c r="B18" t="inlineStr">
        <is>
          <t>Security &amp; compliance risk-reduction case</t>
        </is>
      </c>
      <c r="I18" t="inlineStr">
        <is>
          <t>Value reports / QBRs delivered</t>
        </is>
      </c>
    </row>
    <row r="19">
      <c r="B19" t="inlineStr">
        <is>
          <t>Self-service deflection study</t>
        </is>
      </c>
      <c r="I19" t="inlineStr">
        <is>
          <t>Total realized value (portfolio)</t>
        </is>
      </c>
    </row>
    <row r="20">
      <c r="B20" t="inlineStr">
        <is>
          <t>Value realisation &amp; optimisation study</t>
        </is>
      </c>
      <c r="I20" t="inlineStr">
        <is>
          <t>Template / plan reuse rate</t>
        </is>
      </c>
    </row>
    <row r="21">
      <c r="I21" t="inlineStr">
        <is>
          <t>Schedule impact</t>
        </is>
      </c>
    </row>
    <row r="22">
      <c r="I22" t="inlineStr">
        <is>
          <t>Life-cycle cost reduction</t>
        </is>
      </c>
    </row>
    <row r="23">
      <c r="I23" t="inlineStr">
        <is>
          <t>Reliability / uptime</t>
        </is>
      </c>
    </row>
    <row r="24">
      <c r="I24" t="inlineStr">
        <is>
          <t>Unit cost reduction</t>
        </is>
      </c>
    </row>
    <row r="25">
      <c r="I25" t="inlineStr">
        <is>
          <t>First pass yield</t>
        </is>
      </c>
    </row>
    <row r="26">
      <c r="I26" t="inlineStr">
        <is>
          <t>Mainframe cost reduction (MLC / MSU)</t>
        </is>
      </c>
    </row>
    <row r="27">
      <c r="I27" t="inlineStr">
        <is>
          <t>Mean time to resolve (MTTR)</t>
        </is>
      </c>
    </row>
    <row r="28">
      <c r="I28" t="inlineStr">
        <is>
          <t>Job success rate</t>
        </is>
      </c>
    </row>
    <row r="29">
      <c r="I29" t="inlineStr">
        <is>
          <t>SLA attainment</t>
        </is>
      </c>
    </row>
    <row r="30">
      <c r="I30" t="inlineStr">
        <is>
          <t>Ticket deflection rate</t>
        </is>
      </c>
    </row>
    <row r="31">
      <c r="I31" t="inlineStr">
        <is>
          <t>First-contact resolution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52" customWidth="1" min="2" max="2"/>
    <col width="26" customWidth="1" min="3" max="3"/>
  </cols>
  <sheetData>
    <row r="1">
      <c r="A1" s="1" t="inlineStr">
        <is>
          <t>1 · Engagement</t>
        </is>
      </c>
    </row>
    <row r="2">
      <c r="A2" s="2" t="inlineStr">
        <is>
          <t>New VE study header → maps to the app's New VE Study form.</t>
        </is>
      </c>
    </row>
    <row r="3"/>
    <row r="4">
      <c r="A4" s="3" t="inlineStr">
        <is>
          <t>Client / account</t>
        </is>
      </c>
      <c r="B4" s="8" t="n"/>
    </row>
    <row r="5">
      <c r="A5" s="3" t="inlineStr">
        <is>
          <t>Opportunity name</t>
        </is>
      </c>
      <c r="B5" s="8" t="n"/>
    </row>
    <row r="6">
      <c r="A6" s="3" t="inlineStr">
        <is>
          <t>Solution profile</t>
        </is>
      </c>
      <c r="B6" s="11" t="inlineStr">
        <is>
          <t>serviceops</t>
        </is>
      </c>
    </row>
    <row r="7">
      <c r="A7" s="3" t="inlineStr">
        <is>
          <t>Study type</t>
        </is>
      </c>
      <c r="B7" s="11" t="inlineStr">
        <is>
          <t>Managed multi-tenant ITSM migration (incumbent displacement)</t>
        </is>
      </c>
    </row>
    <row r="8">
      <c r="A8" s="3" t="inlineStr">
        <is>
          <t>Study title (as it will appear in app)</t>
        </is>
      </c>
      <c r="B8" s="11" t="inlineStr">
        <is>
          <t>Managed multi-tenant ITSM migration — incumbent displacement (MSP)</t>
        </is>
      </c>
    </row>
    <row r="9">
      <c r="A9" s="3" t="inlineStr">
        <is>
          <t>Value Engineer (owner)</t>
        </is>
      </c>
      <c r="B9" s="8" t="n"/>
    </row>
    <row r="10">
      <c r="A10" s="3" t="inlineStr">
        <is>
          <t>Currency</t>
        </is>
      </c>
      <c r="B10" s="11" t="inlineStr">
        <is>
          <t>USD</t>
        </is>
      </c>
    </row>
    <row r="11">
      <c r="A11" s="3" t="inlineStr">
        <is>
          <t>Estimated value (optional)</t>
        </is>
      </c>
      <c r="B11" s="11" t="n">
        <v>600000</v>
      </c>
    </row>
    <row r="12">
      <c r="A12" s="3" t="inlineStr">
        <is>
          <t>Meeting date(s)</t>
        </is>
      </c>
      <c r="B12" s="8" t="n"/>
    </row>
    <row r="13">
      <c r="A13" s="3" t="inlineStr">
        <is>
          <t>Target decision date</t>
        </is>
      </c>
      <c r="B13" s="11" t="inlineStr">
        <is>
          <t>2026-12-15</t>
        </is>
      </c>
    </row>
  </sheetData>
  <dataValidations count="3">
    <dataValidation sqref="B10" showDropDown="0" showInputMessage="0" showErrorMessage="0" allowBlank="1" type="list">
      <formula1>Currencies</formula1>
    </dataValidation>
    <dataValidation sqref="B6" showDropDown="0" showInputMessage="0" showErrorMessage="0" allowBlank="1" type="list">
      <formula1>SolutionProfiles</formula1>
    </dataValidation>
    <dataValidation sqref="B7" showDropDown="0" showInputMessage="0" showErrorMessage="0" allowBlank="1" type="list">
      <formula1>StudyTypes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28" customWidth="1" min="2" max="2"/>
    <col width="18" customWidth="1" min="3" max="3"/>
    <col width="28" customWidth="1" min="4" max="4"/>
    <col width="30" customWidth="1" min="5" max="5"/>
  </cols>
  <sheetData>
    <row r="1">
      <c r="A1" s="1" t="inlineStr">
        <is>
          <t>2 · Orientation</t>
        </is>
      </c>
    </row>
    <row r="2">
      <c r="A2" s="2" t="inlineStr">
        <is>
          <t>Problem, scope, stakeholders, value hypothesis.</t>
        </is>
      </c>
    </row>
    <row r="3"/>
    <row r="4">
      <c r="A4" s="3" t="inlineStr">
        <is>
          <t>Problem statement (1–2 lines)</t>
        </is>
      </c>
      <c r="B4" s="11" t="inlineStr">
        <is>
          <t>A managed service provider (MSP) runs its service desk on a self-hosted, mid-market incumbent ITSM tool that it administers itself. As the estate scales across many client relationships, the platform's automation, multi-tenant governance and self-service depth limit analyst productivity and SLA consistency, and platform operations consume internal capacity that could be billable. The MSP wants to move to a ring-fenced, multi-tenant, enterprise-grade ITSM platform on a partner's managed cloud — run and managed by the platform partner.</t>
        </is>
      </c>
    </row>
    <row r="5">
      <c r="A5" s="3" t="inlineStr">
        <is>
          <t>Scope — IN</t>
        </is>
      </c>
      <c r="B5" s="11" t="inlineStr">
        <is>
          <t>Migration of the MSP's managed-services ITSM off the incumbent to a ring-fenced, multi-tenant platform on the partner's managed cloud: incident, request, change, problem, knowledge; self-service portal; digital workplace + GenAI virtual agent; tenant onboarding &amp; data isolation; core integrations (directory/SSO, email, monitoring); partner-managed run &amp; operate.</t>
        </is>
      </c>
    </row>
    <row r="6">
      <c r="A6" s="3" t="inlineStr">
        <is>
          <t>Scope — OUT</t>
        </is>
      </c>
      <c r="B6" s="11" t="inlineStr">
        <is>
          <t>AIOps and Discovery/CMDB (planned as a later phase — see recommendations); the MSP's non-ITSM applications; end-customer business-process change; the partner's shared multi-tenant offering (this is a separate ring-fenced instance).</t>
        </is>
      </c>
    </row>
    <row r="7">
      <c r="A7" s="3" t="inlineStr">
        <is>
          <t>Target value outcome</t>
        </is>
      </c>
      <c r="B7" s="8" t="n"/>
    </row>
    <row r="8">
      <c r="A8" s="3" t="inlineStr">
        <is>
          <t>Value hypothesis (rough size &amp; driver)</t>
        </is>
      </c>
      <c r="B8" s="11" t="inlineStr">
        <is>
          <t>~$0.6M/yr net value: offloading platform operations to the partner, lifting analyst productivity with platform automation + GenAI self-service deflection, protecting SLA-linked managed-services revenue, and enabling multi-tenant scale — against a higher but fully-managed recurring cost and a one-off migration. Payback ~8 months.</t>
        </is>
      </c>
    </row>
    <row r="9"/>
    <row r="10">
      <c r="A10" s="5" t="inlineStr">
        <is>
          <t>Stakeholders</t>
        </is>
      </c>
    </row>
    <row r="11">
      <c r="A11" s="6" t="inlineStr">
        <is>
          <t>Name</t>
        </is>
      </c>
      <c r="B11" s="6" t="inlineStr">
        <is>
          <t>Role / title</t>
        </is>
      </c>
      <c r="C11" s="6" t="inlineStr">
        <is>
          <t>Economic buyer?</t>
        </is>
      </c>
      <c r="D11" s="6" t="inlineStr">
        <is>
          <t>Owns which numbers</t>
        </is>
      </c>
      <c r="E11" s="6" t="inlineStr">
        <is>
          <t>Notes</t>
        </is>
      </c>
    </row>
    <row r="12">
      <c r="A12" s="12" t="inlineStr">
        <is>
          <t>CIO / Managed Services Exec (MSP)</t>
        </is>
      </c>
      <c r="B12" s="12" t="inlineStr">
        <is>
          <t>Economic buyer</t>
        </is>
      </c>
      <c r="C12" s="12" t="inlineStr">
        <is>
          <t>Yes</t>
        </is>
      </c>
      <c r="D12" s="12" t="inlineStr">
        <is>
          <t>Managed-services P&amp;L &amp; platform budget</t>
        </is>
      </c>
      <c r="E12" s="12" t="inlineStr">
        <is>
          <t>Sponsor; wants scale, differentiation and predictable, managed platform cost</t>
        </is>
      </c>
    </row>
    <row r="13">
      <c r="A13" s="12" t="inlineStr">
        <is>
          <t>Head of Service Management (MSP)</t>
        </is>
      </c>
      <c r="B13" s="12" t="inlineStr">
        <is>
          <t>Service owner</t>
        </is>
      </c>
      <c r="C13" s="12" t="inlineStr">
        <is>
          <t>No</t>
        </is>
      </c>
      <c r="D13" s="12" t="inlineStr">
        <is>
          <t>SLA attainment, ticket volumes, CSAT</t>
        </is>
      </c>
      <c r="E13" s="12" t="inlineStr">
        <is>
          <t>Owns managed-services delivery outcomes across tenants</t>
        </is>
      </c>
    </row>
    <row r="14">
      <c r="A14" s="12" t="inlineStr">
        <is>
          <t>Platform / Tooling Lead (MSP)</t>
        </is>
      </c>
      <c r="B14" s="12" t="inlineStr">
        <is>
          <t>Operations</t>
        </is>
      </c>
      <c r="C14" s="12" t="inlineStr">
        <is>
          <t>No</t>
        </is>
      </c>
      <c r="D14" s="12" t="inlineStr">
        <is>
          <t>Incumbent admin, hosting, integrations</t>
        </is>
      </c>
      <c r="E14" s="12" t="inlineStr">
        <is>
          <t>Self-manages the incumbent today; platform ops to be offloaded to the partner</t>
        </is>
      </c>
    </row>
    <row r="15">
      <c r="A15" s="12" t="inlineStr">
        <is>
          <t>Procurement / Vendor Management (MSP)</t>
        </is>
      </c>
      <c r="B15" s="12" t="inlineStr">
        <is>
          <t>Procurement</t>
        </is>
      </c>
      <c r="C15" s="12" t="inlineStr">
        <is>
          <t>No</t>
        </is>
      </c>
      <c r="D15" s="12" t="inlineStr">
        <is>
          <t>Licensing &amp; vendor contracts</t>
        </is>
      </c>
      <c r="E15" s="12" t="inlineStr">
        <is>
          <t>Wants predictable, value-justified spend</t>
        </is>
      </c>
    </row>
    <row r="16">
      <c r="A16" s="12" t="inlineStr">
        <is>
          <t>Client SLA / Commercial Lead (MSP)</t>
        </is>
      </c>
      <c r="B16" s="12" t="inlineStr">
        <is>
          <t>Commercial</t>
        </is>
      </c>
      <c r="C16" s="12" t="inlineStr">
        <is>
          <t>No</t>
        </is>
      </c>
      <c r="D16" s="12" t="inlineStr">
        <is>
          <t>Managed-services contracts &amp; SLA credits</t>
        </is>
      </c>
      <c r="E16" s="12" t="inlineStr">
        <is>
          <t>Cares about SLA-linked revenue protection</t>
        </is>
      </c>
    </row>
    <row r="17">
      <c r="A17" s="12" t="inlineStr">
        <is>
          <t>Account Executive (platform partner)</t>
        </is>
      </c>
      <c r="B17" s="12" t="inlineStr">
        <is>
          <t>Platform partner</t>
        </is>
      </c>
      <c r="C17" s="12" t="inlineStr">
        <is>
          <t>No</t>
        </is>
      </c>
      <c r="D17" s="12" t="inlineStr">
        <is>
          <t>MSP account &amp; managed platform offering</t>
        </is>
      </c>
      <c r="E17" s="12" t="inlineStr">
        <is>
          <t>Owns the partner relationship and the managed-platform commercial</t>
        </is>
      </c>
    </row>
    <row r="18">
      <c r="A18" s="12" t="inlineStr">
        <is>
          <t>Delivery Lead (platform partner)</t>
        </is>
      </c>
      <c r="B18" s="12" t="inlineStr">
        <is>
          <t>Platform partner</t>
        </is>
      </c>
      <c r="C18" s="12" t="inlineStr">
        <is>
          <t>No</t>
        </is>
      </c>
      <c r="D18" s="12" t="inlineStr">
        <is>
          <t>Migration &amp; managed-service delivery</t>
        </is>
      </c>
      <c r="E18" s="12" t="inlineStr">
        <is>
          <t>Builds the ring-fenced instance and runs the ongoing managed service</t>
        </is>
      </c>
    </row>
  </sheetData>
  <dataValidations count="1">
    <dataValidation sqref="C12:C22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2" customWidth="1" min="3" max="3"/>
    <col width="22" customWidth="1" min="4" max="4"/>
    <col width="12" customWidth="1" min="5" max="5"/>
    <col width="26" customWidth="1" min="6" max="6"/>
    <col width="12" customWidth="1" min="7" max="7"/>
  </cols>
  <sheetData>
    <row r="1">
      <c r="A1" s="1" t="inlineStr">
        <is>
          <t>3 · Current-state baseline</t>
        </is>
      </c>
    </row>
    <row r="2">
      <c r="A2" s="2" t="inlineStr">
        <is>
          <t>Information phase. Capture the number AND where it came from.</t>
        </is>
      </c>
    </row>
    <row r="3"/>
    <row r="4">
      <c r="A4" s="6" t="inlineStr">
        <is>
          <t>Item / metric</t>
        </is>
      </c>
      <c r="B4" s="6" t="inlineStr">
        <is>
          <t>Current value</t>
        </is>
      </c>
      <c r="C4" s="6" t="inlineStr">
        <is>
          <t>Unit</t>
        </is>
      </c>
      <c r="D4" s="6" t="inlineStr">
        <is>
          <t>Source</t>
        </is>
      </c>
      <c r="E4" s="6" t="inlineStr">
        <is>
          <t>Period</t>
        </is>
      </c>
      <c r="F4" s="6" t="inlineStr">
        <is>
          <t>Assumption</t>
        </is>
      </c>
      <c r="G4" s="6" t="inlineStr">
        <is>
          <t>Confidence</t>
        </is>
      </c>
    </row>
    <row r="5">
      <c r="A5" s="12" t="inlineStr">
        <is>
          <t>Service-desk agents / technicians on platform</t>
        </is>
      </c>
      <c r="B5" s="12" t="n">
        <v>250</v>
      </c>
      <c r="C5" s="12" t="inlineStr">
        <is>
          <t>agents</t>
        </is>
      </c>
      <c r="D5" s="12" t="inlineStr">
        <is>
          <t>MSP estimate</t>
        </is>
      </c>
      <c r="E5" s="12" t="inlineStr">
        <is>
          <t>2026</t>
        </is>
      </c>
      <c r="F5" s="12" t="inlineStr">
        <is>
          <t>Managed-services delivery</t>
        </is>
      </c>
      <c r="G5" s="12" t="inlineStr">
        <is>
          <t>Medium</t>
        </is>
      </c>
    </row>
    <row r="6">
      <c r="A6" s="12" t="inlineStr">
        <is>
          <t>End-customer tenants served (initial)</t>
        </is>
      </c>
      <c r="B6" s="12" t="n">
        <v>40</v>
      </c>
      <c r="C6" s="12" t="inlineStr">
        <is>
          <t>tenants</t>
        </is>
      </c>
      <c r="D6" s="12" t="inlineStr">
        <is>
          <t>MSP estimate</t>
        </is>
      </c>
      <c r="E6" s="12" t="inlineStr">
        <is>
          <t>2026</t>
        </is>
      </c>
      <c r="F6" s="12" t="inlineStr">
        <is>
          <t>Multi-tenant managed services</t>
        </is>
      </c>
      <c r="G6" s="12" t="inlineStr">
        <is>
          <t>Medium</t>
        </is>
      </c>
    </row>
    <row r="7">
      <c r="A7" s="12" t="inlineStr">
        <is>
          <t>Incumbent ITSM subscription (self-hosted mid-market tool)</t>
        </is>
      </c>
      <c r="B7" s="12" t="n">
        <v>180000</v>
      </c>
      <c r="C7" s="12" t="inlineStr">
        <is>
          <t>USD/yr</t>
        </is>
      </c>
      <c r="D7" s="12" t="inlineStr">
        <is>
          <t>Contract</t>
        </is>
      </c>
      <c r="E7" s="12" t="inlineStr">
        <is>
          <t>FY2026</t>
        </is>
      </c>
      <c r="F7" s="12" t="inlineStr">
        <is>
          <t>Technician-based</t>
        </is>
      </c>
      <c r="G7" s="12" t="inlineStr">
        <is>
          <t>High</t>
        </is>
      </c>
    </row>
    <row r="8">
      <c r="A8" s="12" t="inlineStr">
        <is>
          <t>Self-hosting + platform administration (infra + ~3 FTE)</t>
        </is>
      </c>
      <c r="B8" s="12" t="n">
        <v>320000</v>
      </c>
      <c r="C8" s="12" t="inlineStr">
        <is>
          <t>USD/yr</t>
        </is>
      </c>
      <c r="D8" s="12" t="inlineStr">
        <is>
          <t>MSP estimate</t>
        </is>
      </c>
      <c r="E8" s="12" t="inlineStr">
        <is>
          <t>FY2026</t>
        </is>
      </c>
      <c r="F8" s="12" t="inlineStr">
        <is>
          <t>MSP runs the platform today</t>
        </is>
      </c>
      <c r="G8" s="12" t="inlineStr">
        <is>
          <t>Medium</t>
        </is>
      </c>
    </row>
    <row r="9">
      <c r="A9" s="12" t="inlineStr">
        <is>
          <t>Self-service deflection</t>
        </is>
      </c>
      <c r="B9" s="12" t="n">
        <v>12</v>
      </c>
      <c r="C9" s="12" t="inlineStr">
        <is>
          <t>%</t>
        </is>
      </c>
      <c r="D9" s="12" t="inlineStr">
        <is>
          <t>Portal analytics</t>
        </is>
      </c>
      <c r="E9" s="12" t="inlineStr">
        <is>
          <t>2026</t>
        </is>
      </c>
      <c r="F9" s="12" t="inlineStr">
        <is>
          <t>Low; limited self-service</t>
        </is>
      </c>
      <c r="G9" s="12" t="inlineStr">
        <is>
          <t>Medium</t>
        </is>
      </c>
    </row>
    <row r="10">
      <c r="A10" s="12" t="inlineStr">
        <is>
          <t>SLA attainment (across managed tenants)</t>
        </is>
      </c>
      <c r="B10" s="12" t="n">
        <v>90</v>
      </c>
      <c r="C10" s="12" t="inlineStr">
        <is>
          <t>%</t>
        </is>
      </c>
      <c r="D10" s="12" t="inlineStr">
        <is>
          <t>Service reports</t>
        </is>
      </c>
      <c r="E10" s="12" t="inlineStr">
        <is>
          <t>Q2 2026</t>
        </is>
      </c>
      <c r="F10" s="12" t="inlineStr">
        <is>
          <t>Blended across contracts</t>
        </is>
      </c>
      <c r="G10" s="12" t="inlineStr">
        <is>
          <t>Medium</t>
        </is>
      </c>
    </row>
    <row r="11">
      <c r="A11" s="12" t="inlineStr">
        <is>
          <t>Mean time to resolve (MTTR)</t>
        </is>
      </c>
      <c r="B11" s="12" t="n">
        <v>7.5</v>
      </c>
      <c r="C11" s="12" t="inlineStr">
        <is>
          <t>hours</t>
        </is>
      </c>
      <c r="D11" s="12" t="inlineStr">
        <is>
          <t>ITSM reports</t>
        </is>
      </c>
      <c r="E11" s="12" t="inlineStr">
        <is>
          <t>Q2 2026</t>
        </is>
      </c>
      <c r="F11" s="12" t="inlineStr">
        <is>
          <t>P2/P3 blended</t>
        </is>
      </c>
      <c r="G11" s="12" t="inlineStr">
        <is>
          <t>Medium</t>
        </is>
      </c>
    </row>
    <row r="12">
      <c r="A12" s="12" t="inlineStr">
        <is>
          <t>Manual / repetitive ticket effort</t>
        </is>
      </c>
      <c r="B12" s="12" t="n">
        <v>35</v>
      </c>
      <c r="C12" s="12" t="inlineStr">
        <is>
          <t>%</t>
        </is>
      </c>
      <c r="D12" s="12" t="inlineStr">
        <is>
          <t>Ops estimate</t>
        </is>
      </c>
      <c r="E12" s="12" t="inlineStr">
        <is>
          <t>2026</t>
        </is>
      </c>
      <c r="F12" s="12" t="inlineStr">
        <is>
          <t>Automatable on the new platform</t>
        </is>
      </c>
      <c r="G12" s="12" t="inlineStr">
        <is>
          <t>Low</t>
        </is>
      </c>
    </row>
    <row r="13">
      <c r="A13" s="12" t="inlineStr">
        <is>
          <t>Tenant onboarding time (new client)</t>
        </is>
      </c>
      <c r="B13" s="12" t="n">
        <v>6</v>
      </c>
      <c r="C13" s="12" t="inlineStr">
        <is>
          <t>weeks</t>
        </is>
      </c>
      <c r="D13" s="12" t="inlineStr">
        <is>
          <t>Ops estimate</t>
        </is>
      </c>
      <c r="E13" s="12" t="inlineStr">
        <is>
          <t>2026</t>
        </is>
      </c>
      <c r="F13" s="12" t="inlineStr">
        <is>
          <t>Manual setup on the incumbent</t>
        </is>
      </c>
      <c r="G13" s="12" t="inlineStr">
        <is>
          <t>Medium</t>
        </is>
      </c>
    </row>
    <row r="14">
      <c r="A14" s="12" t="inlineStr">
        <is>
          <t>Platform automation maturity</t>
        </is>
      </c>
      <c r="B14" s="12" t="inlineStr">
        <is>
          <t>Low</t>
        </is>
      </c>
      <c r="C14" s="12" t="inlineStr">
        <is>
          <t>status</t>
        </is>
      </c>
      <c r="D14" s="12" t="inlineStr">
        <is>
          <t>Discovery</t>
        </is>
      </c>
      <c r="E14" s="12" t="inlineStr">
        <is>
          <t>2026</t>
        </is>
      </c>
      <c r="F14" s="12" t="inlineStr">
        <is>
          <t>Limited workflow automation</t>
        </is>
      </c>
      <c r="G14" s="12" t="inlineStr">
        <is>
          <t>Medium</t>
        </is>
      </c>
    </row>
    <row r="15">
      <c r="A15" s="12" t="inlineStr">
        <is>
          <t>Deployment / operating model</t>
        </is>
      </c>
      <c r="B15" s="12" t="inlineStr">
        <is>
          <t>Self-managed</t>
        </is>
      </c>
      <c r="C15" s="12" t="inlineStr">
        <is>
          <t>status</t>
        </is>
      </c>
      <c r="D15" s="12" t="inlineStr">
        <is>
          <t>Discovery</t>
        </is>
      </c>
      <c r="E15" s="12" t="inlineStr">
        <is>
          <t>2026</t>
        </is>
      </c>
      <c r="F15" s="12" t="inlineStr">
        <is>
          <t>MSP self-hosts &amp; administers the incumbent</t>
        </is>
      </c>
      <c r="G15" s="12" t="inlineStr">
        <is>
          <t>High</t>
        </is>
      </c>
    </row>
  </sheetData>
  <dataValidations count="2">
    <dataValidation sqref="G10:G25" showDropDown="0" showInputMessage="0" showErrorMessage="0" allowBlank="1" type="list">
      <formula1>Confidence</formula1>
    </dataValidation>
    <dataValidation sqref="G6:G25" showDropDown="0" showInputMessage="0" showErrorMessage="0" allowBlank="1" type="list">
      <formula1>Confidence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Row="0"/>
  <cols>
    <col width="22" customWidth="1" min="1" max="2"/>
    <col width="14" customWidth="1" min="3" max="5"/>
    <col width="16" customWidth="1" min="6" max="6"/>
    <col width="34" customWidth="1" min="7" max="7"/>
  </cols>
  <sheetData>
    <row r="1">
      <c r="A1" s="1" t="inlineStr">
        <is>
          <t>4 · Function analysis</t>
        </is>
      </c>
    </row>
    <row r="2">
      <c r="A2" s="2" t="inlineStr">
        <is>
          <t>Verb + noun. Value index = worth ÷ cost (auto).</t>
        </is>
      </c>
    </row>
    <row r="3"/>
    <row r="4">
      <c r="A4" s="6" t="inlineStr">
        <is>
          <t>Verb</t>
        </is>
      </c>
      <c r="B4" s="6" t="inlineStr">
        <is>
          <t>Noun</t>
        </is>
      </c>
      <c r="C4" s="6" t="inlineStr">
        <is>
          <t>Kind</t>
        </is>
      </c>
      <c r="D4" s="6" t="inlineStr">
        <is>
          <t>Cost</t>
        </is>
      </c>
      <c r="E4" s="6" t="inlineStr">
        <is>
          <t>Worth</t>
        </is>
      </c>
      <c r="F4" s="6" t="inlineStr">
        <is>
          <t>Value index (auto)</t>
        </is>
      </c>
      <c r="G4" s="6" t="inlineStr">
        <is>
          <t>Supports (why) →</t>
        </is>
      </c>
    </row>
    <row r="5">
      <c r="A5" s="12" t="inlineStr">
        <is>
          <t>Resolve</t>
        </is>
      </c>
      <c r="B5" s="12" t="inlineStr">
        <is>
          <t>Incidents</t>
        </is>
      </c>
      <c r="C5" s="12" t="inlineStr">
        <is>
          <t>BASIC</t>
        </is>
      </c>
      <c r="D5" s="12" t="n">
        <v>520000</v>
      </c>
      <c r="E5" s="12" t="n">
        <v>620000</v>
      </c>
      <c r="F5" s="10">
        <f>IFERROR(E5/D5,"")</f>
        <v/>
      </c>
    </row>
    <row r="6">
      <c r="A6" s="12" t="inlineStr">
        <is>
          <t>Fulfil</t>
        </is>
      </c>
      <c r="B6" s="12" t="inlineStr">
        <is>
          <t>Requests</t>
        </is>
      </c>
      <c r="C6" s="12" t="inlineStr">
        <is>
          <t>BASIC</t>
        </is>
      </c>
      <c r="D6" s="12" t="n">
        <v>300000</v>
      </c>
      <c r="E6" s="12" t="n">
        <v>340000</v>
      </c>
      <c r="F6" s="10">
        <f>IFERROR(E6/D6,"")</f>
        <v/>
      </c>
    </row>
    <row r="7">
      <c r="A7" s="12" t="inlineStr">
        <is>
          <t>Isolate</t>
        </is>
      </c>
      <c r="B7" s="12" t="inlineStr">
        <is>
          <t>Tenants</t>
        </is>
      </c>
      <c r="C7" s="12" t="inlineStr">
        <is>
          <t>BASIC</t>
        </is>
      </c>
      <c r="D7" s="12" t="n">
        <v>260000</v>
      </c>
      <c r="E7" s="12" t="n">
        <v>420000</v>
      </c>
      <c r="F7" s="10">
        <f>IFERROR(E7/D7,"")</f>
        <v/>
      </c>
    </row>
    <row r="8">
      <c r="A8" s="12" t="inlineStr">
        <is>
          <t>Deflect</t>
        </is>
      </c>
      <c r="B8" s="12" t="inlineStr">
        <is>
          <t>Contacts</t>
        </is>
      </c>
      <c r="C8" s="12" t="inlineStr">
        <is>
          <t>SECONDARY</t>
        </is>
      </c>
      <c r="D8" s="12" t="n">
        <v>140000</v>
      </c>
      <c r="E8" s="12" t="n">
        <v>320000</v>
      </c>
      <c r="F8" s="10">
        <f>IFERROR(E8/D8,"")</f>
        <v/>
      </c>
    </row>
    <row r="9">
      <c r="A9" s="12" t="inlineStr">
        <is>
          <t>Automate</t>
        </is>
      </c>
      <c r="B9" s="12" t="inlineStr">
        <is>
          <t>Workflows</t>
        </is>
      </c>
      <c r="C9" s="12" t="inlineStr">
        <is>
          <t>SECONDARY</t>
        </is>
      </c>
      <c r="D9" s="12" t="n">
        <v>180000</v>
      </c>
      <c r="E9" s="12" t="n">
        <v>350000</v>
      </c>
      <c r="F9" s="10">
        <f>IFERROR(E9/D9,"")</f>
        <v/>
      </c>
    </row>
    <row r="10">
      <c r="A10" s="12" t="inlineStr">
        <is>
          <t>Operate</t>
        </is>
      </c>
      <c r="B10" s="12" t="inlineStr">
        <is>
          <t>Platform</t>
        </is>
      </c>
      <c r="C10" s="12" t="inlineStr">
        <is>
          <t>SECONDARY</t>
        </is>
      </c>
      <c r="D10" s="12" t="n">
        <v>420000</v>
      </c>
      <c r="E10" s="12" t="n">
        <v>200000</v>
      </c>
      <c r="F10" s="10">
        <f>IFERROR(E10/D10,"")</f>
        <v/>
      </c>
    </row>
    <row r="11">
      <c r="A11" s="12" t="inlineStr">
        <is>
          <t>License</t>
        </is>
      </c>
      <c r="B11" s="12" t="inlineStr">
        <is>
          <t>Technicians</t>
        </is>
      </c>
      <c r="C11" s="12" t="inlineStr">
        <is>
          <t>SECONDARY</t>
        </is>
      </c>
      <c r="D11" s="12" t="n">
        <v>180000</v>
      </c>
      <c r="E11" s="12" t="n">
        <v>170000</v>
      </c>
      <c r="F11" s="10">
        <f>IFERROR(E11/D11,"")</f>
        <v/>
      </c>
    </row>
    <row r="12">
      <c r="F12" s="10">
        <f>IFERROR(E12/D12,"")</f>
        <v/>
      </c>
    </row>
    <row r="13">
      <c r="F13" s="10">
        <f>IFERROR(E13/D13,"")</f>
        <v/>
      </c>
    </row>
    <row r="14">
      <c r="F14" s="10">
        <f>IFERROR(E14/D14,"")</f>
        <v/>
      </c>
    </row>
    <row r="15">
      <c r="F15" s="10">
        <f>IFERROR(E15/D15,"")</f>
        <v/>
      </c>
    </row>
    <row r="16">
      <c r="F16" s="10">
        <f>IFERROR(E16/D16,"")</f>
        <v/>
      </c>
    </row>
    <row r="17">
      <c r="F17" s="10">
        <f>IFERROR(E17/D17,"")</f>
        <v/>
      </c>
    </row>
    <row r="18">
      <c r="F18" s="10">
        <f>IFERROR(E18/D18,"")</f>
        <v/>
      </c>
    </row>
    <row r="19">
      <c r="F19" s="10">
        <f>IFERROR(E19/D19,"")</f>
        <v/>
      </c>
    </row>
    <row r="20">
      <c r="F20" s="10">
        <f>IFERROR(E20/D20,"")</f>
        <v/>
      </c>
    </row>
  </sheetData>
  <dataValidations count="2">
    <dataValidation sqref="C10:C20" showDropDown="0" showInputMessage="0" showErrorMessage="0" allowBlank="1" type="list">
      <formula1>FunctionKind</formula1>
    </dataValidation>
    <dataValidation sqref="C5:C20" showDropDown="0" showInputMessage="0" showErrorMessage="0" allowBlank="1" type="list">
      <formula1>FunctionKind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26" customWidth="1" min="2" max="2"/>
    <col width="30" customWidth="1" min="3" max="3"/>
    <col width="14" customWidth="1" min="4" max="5"/>
  </cols>
  <sheetData>
    <row r="1">
      <c r="A1" s="1" t="inlineStr">
        <is>
          <t>5 · Creative alternatives</t>
        </is>
      </c>
    </row>
    <row r="2">
      <c r="A2" s="2" t="inlineStr">
        <is>
          <t>Ideas for the high-value functions. Shortlist the ones worth evaluating.</t>
        </is>
      </c>
    </row>
    <row r="3"/>
    <row r="4">
      <c r="A4" s="6" t="inlineStr">
        <is>
          <t>Idea</t>
        </is>
      </c>
      <c r="B4" s="6" t="inlineStr">
        <is>
          <t>Linked function (verb+noun)</t>
        </is>
      </c>
      <c r="C4" s="6" t="inlineStr">
        <is>
          <t>Description</t>
        </is>
      </c>
      <c r="D4" s="6" t="inlineStr">
        <is>
          <t>Rough value</t>
        </is>
      </c>
      <c r="E4" s="6" t="inlineStr">
        <is>
          <t>Shortlisted?</t>
        </is>
      </c>
    </row>
    <row r="5">
      <c r="A5" s="12" t="inlineStr">
        <is>
          <t>Migrate to the partner-managed multi-tenant ITSM platform (ring-fenced)</t>
        </is>
      </c>
      <c r="B5" s="12" t="inlineStr">
        <is>
          <t>Operate Platform</t>
        </is>
      </c>
      <c r="C5" s="12" t="inlineStr">
        <is>
          <t>Move ITSM to a ring-fenced multi-tenant platform on the partner's managed cloud; partner runs &amp; manages it</t>
        </is>
      </c>
      <c r="D5" s="12" t="n">
        <v>600000</v>
      </c>
      <c r="E5" s="12" t="inlineStr">
        <is>
          <t>Yes</t>
        </is>
      </c>
    </row>
    <row r="6">
      <c r="A6" s="12" t="inlineStr">
        <is>
          <t>Add a GenAI self-service virtual agent</t>
        </is>
      </c>
      <c r="B6" s="12" t="inlineStr">
        <is>
          <t>Deflect Contacts</t>
        </is>
      </c>
      <c r="C6" s="12" t="inlineStr">
        <is>
          <t>GenAI self-service to deflect contacts and speed resolution</t>
        </is>
      </c>
      <c r="D6" s="12" t="n">
        <v>230000</v>
      </c>
      <c r="E6" s="12" t="inlineStr">
        <is>
          <t>Yes</t>
        </is>
      </c>
    </row>
    <row r="7">
      <c r="A7" s="12" t="inlineStr">
        <is>
          <t>Phase 2 — add AIOps and Discovery/CMDB</t>
        </is>
      </c>
      <c r="B7" s="12" t="inlineStr">
        <is>
          <t>Automate Workflows</t>
        </is>
      </c>
      <c r="C7" s="12" t="inlineStr">
        <is>
          <t>Event correlation, MTTR reduction and CMDB accuracy across tenants (planned expansion)</t>
        </is>
      </c>
      <c r="D7" s="12" t="n">
        <v>230000</v>
      </c>
      <c r="E7" s="12" t="inlineStr">
        <is>
          <t>Yes</t>
        </is>
      </c>
    </row>
    <row r="8">
      <c r="A8" s="12" t="inlineStr">
        <is>
          <t>Stay on the incumbent, self-hosted (status quo)</t>
        </is>
      </c>
      <c r="B8" s="12" t="inlineStr">
        <is>
          <t>License Technicians</t>
        </is>
      </c>
      <c r="C8" s="12" t="inlineStr">
        <is>
          <t>Keep the incumbent; renegotiate; no platform-ops offload</t>
        </is>
      </c>
      <c r="D8" s="12" t="n">
        <v>0</v>
      </c>
      <c r="E8" s="12" t="inlineStr">
        <is>
          <t>No</t>
        </is>
      </c>
    </row>
    <row r="9">
      <c r="A9" s="12" t="inlineStr">
        <is>
          <t>Upgrade the incumbent + build automation in-house</t>
        </is>
      </c>
      <c r="B9" s="12" t="inlineStr">
        <is>
          <t>Automate Workflows</t>
        </is>
      </c>
      <c r="C9" s="12" t="inlineStr">
        <is>
          <t>Extend the incumbent and self-manage more automation</t>
        </is>
      </c>
      <c r="D9" s="12" t="n">
        <v>120000</v>
      </c>
      <c r="E9" s="12" t="inlineStr">
        <is>
          <t>No</t>
        </is>
      </c>
    </row>
  </sheetData>
  <dataValidations count="2">
    <dataValidation sqref="E10:E20" showDropDown="0" showInputMessage="0" showErrorMessage="0" allowBlank="1" type="list">
      <formula1>YesNo</formula1>
    </dataValidation>
    <dataValidation sqref="E5:E20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2" customWidth="1" min="3" max="6"/>
    <col width="16" customWidth="1" min="7" max="7"/>
  </cols>
  <sheetData>
    <row r="1">
      <c r="A1" s="1" t="inlineStr">
        <is>
          <t>6 · Evaluation matrix</t>
        </is>
      </c>
    </row>
    <row r="2">
      <c r="A2" s="2" t="inlineStr">
        <is>
          <t>Weight the criteria (total 100%), score each alternative 1–5 (auto-weighted).</t>
        </is>
      </c>
    </row>
    <row r="3"/>
    <row r="4">
      <c r="A4" s="5" t="inlineStr">
        <is>
          <t>Criteria &amp; weights</t>
        </is>
      </c>
    </row>
    <row r="5">
      <c r="A5" s="6" t="inlineStr">
        <is>
          <t>Criterion</t>
        </is>
      </c>
      <c r="B5" s="6" t="inlineStr">
        <is>
          <t>Weight %</t>
        </is>
      </c>
    </row>
    <row r="6">
      <c r="A6" s="12" t="inlineStr">
        <is>
          <t>Cost impact</t>
        </is>
      </c>
      <c r="B6" s="11" t="n">
        <v>30</v>
      </c>
    </row>
    <row r="7">
      <c r="A7" s="12" t="inlineStr">
        <is>
          <t>Performance</t>
        </is>
      </c>
      <c r="B7" s="11" t="n">
        <v>25</v>
      </c>
    </row>
    <row r="8">
      <c r="A8" s="12" t="inlineStr">
        <is>
          <t>Risk</t>
        </is>
      </c>
      <c r="B8" s="11" t="n">
        <v>20</v>
      </c>
    </row>
    <row r="9">
      <c r="A9" s="12" t="inlineStr">
        <is>
          <t>Feasibility</t>
        </is>
      </c>
      <c r="B9" s="11" t="n">
        <v>15</v>
      </c>
    </row>
    <row r="10">
      <c r="A10" s="12" t="inlineStr">
        <is>
          <t>Schedule</t>
        </is>
      </c>
      <c r="B10" s="11" t="n">
        <v>10</v>
      </c>
    </row>
    <row r="11">
      <c r="A11" s="3" t="inlineStr">
        <is>
          <t>Total</t>
        </is>
      </c>
      <c r="B11" s="10">
        <f>SUM(B6:B10)</f>
        <v/>
      </c>
    </row>
    <row r="12"/>
    <row r="13">
      <c r="A13" s="5" t="inlineStr">
        <is>
          <t>Score each alternative (1–5)</t>
        </is>
      </c>
    </row>
    <row r="14">
      <c r="A14" s="6" t="inlineStr">
        <is>
          <t>Alternative</t>
        </is>
      </c>
      <c r="B14" s="6" t="inlineStr">
        <is>
          <t>Cost impact</t>
        </is>
      </c>
      <c r="C14" s="6" t="inlineStr">
        <is>
          <t>Performance</t>
        </is>
      </c>
      <c r="D14" s="6" t="inlineStr">
        <is>
          <t>Risk</t>
        </is>
      </c>
      <c r="E14" s="6" t="inlineStr">
        <is>
          <t>Feasibility</t>
        </is>
      </c>
      <c r="F14" s="6" t="inlineStr">
        <is>
          <t>Schedule</t>
        </is>
      </c>
      <c r="G14" s="6" t="inlineStr">
        <is>
          <t>Weighted score (auto)</t>
        </is>
      </c>
    </row>
    <row r="15">
      <c r="A15" s="12" t="inlineStr">
        <is>
          <t>Migrate to the partner-managed multi-tenant ITSM platform (ring-fenced)</t>
        </is>
      </c>
      <c r="B15" s="12" t="n">
        <v>4</v>
      </c>
      <c r="C15" s="12" t="n">
        <v>5</v>
      </c>
      <c r="D15" s="12" t="n">
        <v>4</v>
      </c>
      <c r="E15" s="12" t="n">
        <v>4</v>
      </c>
      <c r="F15" s="12" t="n">
        <v>4</v>
      </c>
      <c r="G15" s="10">
        <f>IF(COUNT(B15:F15)=0,"",B15*$B$6+C15*$B$7+D15*$B$8+E15*$B$9+F15*$B$10)</f>
        <v/>
      </c>
    </row>
    <row r="16">
      <c r="A16" s="12" t="inlineStr">
        <is>
          <t>Add a GenAI self-service virtual agent</t>
        </is>
      </c>
      <c r="B16" s="12" t="n">
        <v>4</v>
      </c>
      <c r="C16" s="12" t="n">
        <v>5</v>
      </c>
      <c r="D16" s="12" t="n">
        <v>4</v>
      </c>
      <c r="E16" s="12" t="n">
        <v>4</v>
      </c>
      <c r="F16" s="12" t="n">
        <v>4</v>
      </c>
      <c r="G16" s="10">
        <f>IF(COUNT(B16:F16)=0,"",B16*$B$6+C16*$B$7+D16*$B$8+E16*$B$9+F16*$B$10)</f>
        <v/>
      </c>
    </row>
    <row r="17">
      <c r="A17" s="12" t="inlineStr">
        <is>
          <t>Phase 2 — add AIOps and Discovery/CMDB</t>
        </is>
      </c>
      <c r="B17" s="12" t="n">
        <v>3</v>
      </c>
      <c r="C17" s="12" t="n">
        <v>5</v>
      </c>
      <c r="D17" s="12" t="n">
        <v>3</v>
      </c>
      <c r="E17" s="12" t="n">
        <v>3</v>
      </c>
      <c r="F17" s="12" t="n">
        <v>2</v>
      </c>
      <c r="G17" s="10">
        <f>IF(COUNT(B17:F17)=0,"",B17*$B$6+C17*$B$7+D17*$B$8+E17*$B$9+F17*$B$10)</f>
        <v/>
      </c>
    </row>
    <row r="18">
      <c r="G18" s="10">
        <f>IF(COUNT(B18:F18)=0,"",B18*$B$6+C18*$B$7+D18*$B$8+E18*$B$9+F18*$B$10)</f>
        <v/>
      </c>
    </row>
    <row r="19">
      <c r="G19" s="10">
        <f>IF(COUNT(B19:F19)=0,"",B19*$B$6+C19*$B$7+D19*$B$8+E19*$B$9+F19*$B$10)</f>
        <v/>
      </c>
    </row>
    <row r="20">
      <c r="G20" s="10">
        <f>IF(COUNT(B20:F20)=0,"",B20*$B$6+C20*$B$7+D20*$B$8+E20*$B$9+F20*$B$10)</f>
        <v/>
      </c>
    </row>
    <row r="21">
      <c r="G21" s="10">
        <f>IF(COUNT(B21:F21)=0,"",B21*$B$6+C21*$B$7+D21*$B$8+E21*$B$9+F21*$B$10)</f>
        <v/>
      </c>
    </row>
    <row r="22">
      <c r="G22" s="10">
        <f>IF(COUNT(B22:F22)=0,"",B22*$B$6+C22*$B$7+D22*$B$8+E22*$B$9+F22*$B$10)</f>
        <v/>
      </c>
    </row>
  </sheetData>
  <dataValidations count="1">
    <dataValidation sqref="B15:F22" showDropDown="0" showInputMessage="0" showErrorMessage="0" allowBlank="1" type="list">
      <formula1>Scale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30" customWidth="1" min="2" max="2"/>
    <col width="26" customWidth="1" min="3" max="4"/>
    <col width="12" customWidth="1" min="5" max="6"/>
    <col width="14" customWidth="1" min="7" max="7"/>
  </cols>
  <sheetData>
    <row r="1">
      <c r="A1" s="1" t="inlineStr">
        <is>
          <t>7 · Recommendations</t>
        </is>
      </c>
    </row>
    <row r="2">
      <c r="A2" s="2" t="inlineStr">
        <is>
          <t>Developed recs. Status ACCEPTED is the guard for handover.</t>
        </is>
      </c>
    </row>
    <row r="3"/>
    <row r="4">
      <c r="A4" s="6" t="inlineStr">
        <is>
          <t>Title</t>
        </is>
      </c>
      <c r="B4" s="6" t="inlineStr">
        <is>
          <t>Summary</t>
        </is>
      </c>
      <c r="C4" s="6" t="inlineStr">
        <is>
          <t>Technical detail</t>
        </is>
      </c>
      <c r="D4" s="6" t="inlineStr">
        <is>
          <t>Commercial detail</t>
        </is>
      </c>
      <c r="E4" s="6" t="inlineStr">
        <is>
          <t>Est. value</t>
        </is>
      </c>
      <c r="F4" s="6" t="inlineStr">
        <is>
          <t>Est. cost</t>
        </is>
      </c>
      <c r="G4" s="6" t="inlineStr">
        <is>
          <t>Status</t>
        </is>
      </c>
    </row>
    <row r="5">
      <c r="A5" s="12" t="inlineStr">
        <is>
          <t>Migrate the MSP's managed-services ITSM to the partner-managed platform</t>
        </is>
      </c>
      <c r="B5" s="12" t="inlineStr">
        <is>
          <t>Displace the self-hosted incumbent with a ring-fenced, multi-tenant ITSM platform on the partner's managed cloud, run and managed by the partner.</t>
        </is>
      </c>
      <c r="C5" s="12" t="inlineStr">
        <is>
          <t>Ring-fenced multi-tenant ITSM (isolated from the partner's shared offering); incident/request/change/problem/knowledge; self-service portal; digital workplace + GenAI virtual agent; per-tenant data isolation, SLAs &amp; dashboards; directory/SSO, email &amp; monitoring integrations; partner patches, upgrades and operates the platform.</t>
        </is>
      </c>
      <c r="D5" s="12" t="inlineStr">
        <is>
          <t>Recurring platform subscription + partner managed-service fee (opex) replaces the incumbent licence + self-hosting/admin; one-off migration &amp; onboarding services. Net ~$0.6M/yr; payback ~8 months.</t>
        </is>
      </c>
      <c r="E5" s="12" t="n">
        <v>600000</v>
      </c>
      <c r="F5" s="12" t="n">
        <v>420000</v>
      </c>
      <c r="G5" s="12" t="inlineStr">
        <is>
          <t>ACCEPTED</t>
        </is>
      </c>
    </row>
    <row r="6">
      <c r="A6" s="12" t="inlineStr">
        <is>
          <t>Stand up a GenAI self-service virtual agent</t>
        </is>
      </c>
      <c r="B6" s="12" t="inlineStr">
        <is>
          <t>Deflect repetitive contacts and speed resolution with GenAI-assisted self-service.</t>
        </is>
      </c>
      <c r="C6" s="12" t="inlineStr">
        <is>
          <t>GenAI virtual agent + digital-workplace portal across tenants; knowledge-grounded responses; agent-assist.</t>
        </is>
      </c>
      <c r="D6" s="12" t="inlineStr">
        <is>
          <t>Lifts deflection 12%→35% and improves FCR; part of the core migration scope.</t>
        </is>
      </c>
      <c r="E6" s="12" t="n">
        <v>230000</v>
      </c>
      <c r="F6" s="12" t="n">
        <v>0</v>
      </c>
      <c r="G6" s="12" t="inlineStr">
        <is>
          <t>ACCEPTED</t>
        </is>
      </c>
    </row>
    <row r="7">
      <c r="A7" s="12" t="inlineStr">
        <is>
          <t>Partner-managed operate model (offload platform ops)</t>
        </is>
      </c>
      <c r="B7" s="12" t="inlineStr">
        <is>
          <t>The partner runs, patches, upgrades and monitors the ring-fenced platform on the MSP's behalf.</t>
        </is>
      </c>
      <c r="C7" s="12" t="inlineStr">
        <is>
          <t>24×7 managed service; release management; multi-tenant governance; SLA-backed platform availability.</t>
        </is>
      </c>
      <c r="D7" s="12" t="inlineStr">
        <is>
          <t>Frees ~3 MSP platform FTEs for billable delivery; predictable managed cost.</t>
        </is>
      </c>
      <c r="E7" s="12" t="n">
        <v>320000</v>
      </c>
      <c r="F7" s="12" t="n">
        <v>0</v>
      </c>
      <c r="G7" s="12" t="inlineStr">
        <is>
          <t>ACCEPTED</t>
        </is>
      </c>
    </row>
    <row r="8">
      <c r="A8" s="12" t="inlineStr">
        <is>
          <t>Phase 2 — add AIOps and Discovery/CMDB</t>
        </is>
      </c>
      <c r="B8" s="12" t="inlineStr">
        <is>
          <t>Extend the platform with event correlation, MTTR reduction and CMDB accuracy across tenants.</t>
        </is>
      </c>
      <c r="C8" s="12" t="inlineStr">
        <is>
          <t>AIOps (event correlation, noise reduction) + Discovery/CMDB, multi-tenant.</t>
        </is>
      </c>
      <c r="D8" s="12" t="inlineStr">
        <is>
          <t>Roadmap expansion once the ITSM core is proven; grows value and partner ARR.</t>
        </is>
      </c>
      <c r="E8" s="12" t="n">
        <v>230000</v>
      </c>
      <c r="F8" s="12" t="n">
        <v>120000</v>
      </c>
      <c r="G8" s="12" t="inlineStr">
        <is>
          <t>PROPOSED</t>
        </is>
      </c>
    </row>
  </sheetData>
  <dataValidations count="2">
    <dataValidation sqref="G10:G18" showDropDown="0" showInputMessage="0" showErrorMessage="0" allowBlank="1" type="list">
      <formula1>RecommendationStatus</formula1>
    </dataValidation>
    <dataValidation sqref="G5:G18" showDropDown="0" showInputMessage="0" showErrorMessage="0" allowBlank="1" type="list">
      <formula1>RecommendationStatus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14" customWidth="1" min="2" max="2"/>
    <col width="16" customWidth="1" min="3" max="3"/>
    <col width="14" customWidth="1" min="4" max="4"/>
    <col width="12" customWidth="1" min="5" max="6"/>
    <col width="18" customWidth="1" min="7" max="8"/>
    <col width="16" customWidth="1" min="9" max="9"/>
  </cols>
  <sheetData>
    <row r="1">
      <c r="A1" s="1" t="inlineStr">
        <is>
          <t>8 · Business case</t>
        </is>
      </c>
    </row>
    <row r="2">
      <c r="A2" s="2" t="inlineStr">
        <is>
          <t>Cost/benefit line items → the app's business case. Finance below mirrors the app's engine (indicative).</t>
        </is>
      </c>
    </row>
    <row r="3"/>
    <row r="4">
      <c r="A4" s="5" t="inlineStr">
        <is>
          <t>Assumptions</t>
        </is>
      </c>
    </row>
    <row r="5">
      <c r="A5" s="3" t="inlineStr">
        <is>
          <t>Currency</t>
        </is>
      </c>
      <c r="B5" s="8" t="n"/>
    </row>
    <row r="6">
      <c r="A6" s="3" t="inlineStr">
        <is>
          <t>Discount rate</t>
        </is>
      </c>
      <c r="B6" s="11" t="n">
        <v>0.12</v>
      </c>
    </row>
    <row r="7">
      <c r="A7" s="3" t="inlineStr">
        <is>
          <t>Horizon (years)</t>
        </is>
      </c>
      <c r="B7" s="11" t="n">
        <v>5</v>
      </c>
    </row>
    <row r="8"/>
    <row r="9">
      <c r="A9" s="5" t="inlineStr">
        <is>
          <t>Cost / benefit line items</t>
        </is>
      </c>
    </row>
    <row r="10">
      <c r="A10" s="6" t="inlineStr">
        <is>
          <t>Label</t>
        </is>
      </c>
      <c r="B10" s="6" t="inlineStr">
        <is>
          <t>Kind</t>
        </is>
      </c>
      <c r="C10" s="6" t="inlineStr">
        <is>
          <t>Category</t>
        </is>
      </c>
      <c r="D10" s="6" t="inlineStr">
        <is>
          <t>Amount</t>
        </is>
      </c>
      <c r="E10" s="6" t="inlineStr">
        <is>
          <t>Year (0=now)</t>
        </is>
      </c>
      <c r="F10" s="6" t="inlineStr">
        <is>
          <t>Recurring?</t>
        </is>
      </c>
      <c r="G10" s="6" t="inlineStr">
        <is>
          <t>Investment y0 (auto)</t>
        </is>
      </c>
      <c r="H10" s="6" t="inlineStr">
        <is>
          <t>Annual benefit (auto)</t>
        </is>
      </c>
      <c r="I10" s="6" t="inlineStr">
        <is>
          <t>Annual opex (auto)</t>
        </is>
      </c>
    </row>
    <row r="11">
      <c r="A11" s="12" t="inlineStr">
        <is>
          <t>Incumbent ITSM licence avoided</t>
        </is>
      </c>
      <c r="B11" s="12" t="inlineStr">
        <is>
          <t>BENEFIT</t>
        </is>
      </c>
      <c r="C11" s="12" t="inlineStr">
        <is>
          <t>COST_SAVING</t>
        </is>
      </c>
      <c r="D11" s="12" t="n">
        <v>180000</v>
      </c>
      <c r="E11" s="12" t="n">
        <v>0</v>
      </c>
      <c r="F11" s="12" t="inlineStr">
        <is>
          <t>Yes</t>
        </is>
      </c>
      <c r="G11" s="10">
        <f>IF(AND(OR(B11="CAPEX",B11="ONE_OFF"),N(E11)=0),D11,0)</f>
        <v/>
      </c>
      <c r="H11" s="10">
        <f>IF(AND(B11="BENEFIT",F11="Yes"),D11,0)</f>
        <v/>
      </c>
      <c r="I11" s="10">
        <f>IF(OR(B11="OPEX",B11="RECURRING"),D11,0)</f>
        <v/>
      </c>
    </row>
    <row r="12">
      <c r="A12" s="12" t="inlineStr">
        <is>
          <t>Self-hosting &amp; platform-admin effort offloaded to the partner (FTE redeployed to billable)</t>
        </is>
      </c>
      <c r="B12" s="12" t="inlineStr">
        <is>
          <t>BENEFIT</t>
        </is>
      </c>
      <c r="C12" s="12" t="inlineStr">
        <is>
          <t>COST_SAVING</t>
        </is>
      </c>
      <c r="D12" s="12" t="n">
        <v>320000</v>
      </c>
      <c r="E12" s="12" t="n">
        <v>0</v>
      </c>
      <c r="F12" s="12" t="inlineStr">
        <is>
          <t>Yes</t>
        </is>
      </c>
      <c r="G12" s="10">
        <f>IF(AND(OR(B12="CAPEX",B12="ONE_OFF"),N(E12)=0),D12,0)</f>
        <v/>
      </c>
      <c r="H12" s="10">
        <f>IF(AND(B12="BENEFIT",F12="Yes"),D12,0)</f>
        <v/>
      </c>
      <c r="I12" s="10">
        <f>IF(OR(B12="OPEX",B12="RECURRING"),D12,0)</f>
        <v/>
      </c>
    </row>
    <row r="13">
      <c r="A13" s="12" t="inlineStr">
        <is>
          <t>Analyst productivity — platform automation &amp; GenAI self-service deflection</t>
        </is>
      </c>
      <c r="B13" s="12" t="inlineStr">
        <is>
          <t>BENEFIT</t>
        </is>
      </c>
      <c r="C13" s="12" t="inlineStr">
        <is>
          <t>TIME_SAVING</t>
        </is>
      </c>
      <c r="D13" s="12" t="n">
        <v>420000</v>
      </c>
      <c r="E13" s="12" t="n">
        <v>0</v>
      </c>
      <c r="F13" s="12" t="inlineStr">
        <is>
          <t>Yes</t>
        </is>
      </c>
      <c r="G13" s="10">
        <f>IF(AND(OR(B13="CAPEX",B13="ONE_OFF"),N(E13)=0),D13,0)</f>
        <v/>
      </c>
      <c r="H13" s="10">
        <f>IF(AND(B13="BENEFIT",F13="Yes"),D13,0)</f>
        <v/>
      </c>
      <c r="I13" s="10">
        <f>IF(OR(B13="OPEX",B13="RECURRING"),D13,0)</f>
        <v/>
      </c>
    </row>
    <row r="14">
      <c r="A14" s="12" t="inlineStr">
        <is>
          <t>SLA penalty / credit avoidance on managed-services contracts</t>
        </is>
      </c>
      <c r="B14" s="12" t="inlineStr">
        <is>
          <t>BENEFIT</t>
        </is>
      </c>
      <c r="C14" s="12" t="inlineStr">
        <is>
          <t>RISK_REDUCTION</t>
        </is>
      </c>
      <c r="D14" s="12" t="n">
        <v>150000</v>
      </c>
      <c r="E14" s="12" t="n">
        <v>0</v>
      </c>
      <c r="F14" s="12" t="inlineStr">
        <is>
          <t>Yes</t>
        </is>
      </c>
      <c r="G14" s="10">
        <f>IF(AND(OR(B14="CAPEX",B14="ONE_OFF"),N(E14)=0),D14,0)</f>
        <v/>
      </c>
      <c r="H14" s="10">
        <f>IF(AND(B14="BENEFIT",F14="Yes"),D14,0)</f>
        <v/>
      </c>
      <c r="I14" s="10">
        <f>IF(OR(B14="OPEX",B14="RECURRING"),D14,0)</f>
        <v/>
      </c>
    </row>
    <row r="15">
      <c r="A15" s="12" t="inlineStr">
        <is>
          <t>Managed-services revenue protection &amp; tenant growth (differentiated platform)</t>
        </is>
      </c>
      <c r="B15" s="12" t="inlineStr">
        <is>
          <t>BENEFIT</t>
        </is>
      </c>
      <c r="C15" s="12" t="inlineStr">
        <is>
          <t>REVENUE_UPLIFT</t>
        </is>
      </c>
      <c r="D15" s="12" t="n">
        <v>230000</v>
      </c>
      <c r="E15" s="12" t="n">
        <v>0</v>
      </c>
      <c r="F15" s="12" t="inlineStr">
        <is>
          <t>Yes</t>
        </is>
      </c>
      <c r="G15" s="10">
        <f>IF(AND(OR(B15="CAPEX",B15="ONE_OFF"),N(E15)=0),D15,0)</f>
        <v/>
      </c>
      <c r="H15" s="10">
        <f>IF(AND(B15="BENEFIT",F15="Yes"),D15,0)</f>
        <v/>
      </c>
      <c r="I15" s="10">
        <f>IF(OR(B15="OPEX",B15="RECURRING"),D15,0)</f>
        <v/>
      </c>
    </row>
    <row r="16">
      <c r="A16" s="12" t="inlineStr">
        <is>
          <t>Managed multi-tenant ITSM subscription (ITSM + digital workplace / GenAI)</t>
        </is>
      </c>
      <c r="B16" s="12" t="inlineStr">
        <is>
          <t>OPEX</t>
        </is>
      </c>
      <c r="C16" s="12" t="inlineStr">
        <is>
          <t>OTHER</t>
        </is>
      </c>
      <c r="D16" s="12" t="n">
        <v>520000</v>
      </c>
      <c r="E16" s="12" t="n">
        <v>0</v>
      </c>
      <c r="F16" s="12" t="inlineStr">
        <is>
          <t>Yes</t>
        </is>
      </c>
      <c r="G16" s="10">
        <f>IF(AND(OR(B16="CAPEX",B16="ONE_OFF"),N(E16)=0),D16,0)</f>
        <v/>
      </c>
      <c r="H16" s="10">
        <f>IF(AND(B16="BENEFIT",F16="Yes"),D16,0)</f>
        <v/>
      </c>
      <c r="I16" s="10">
        <f>IF(OR(B16="OPEX",B16="RECURRING"),D16,0)</f>
        <v/>
      </c>
    </row>
    <row r="17">
      <c r="A17" s="12" t="inlineStr">
        <is>
          <t>Managed-service fee (partner runs &amp; operates the platform)</t>
        </is>
      </c>
      <c r="B17" s="12" t="inlineStr">
        <is>
          <t>OPEX</t>
        </is>
      </c>
      <c r="C17" s="12" t="inlineStr">
        <is>
          <t>OTHER</t>
        </is>
      </c>
      <c r="D17" s="12" t="n">
        <v>180000</v>
      </c>
      <c r="E17" s="12" t="n">
        <v>0</v>
      </c>
      <c r="F17" s="12" t="inlineStr">
        <is>
          <t>Yes</t>
        </is>
      </c>
      <c r="G17" s="10">
        <f>IF(AND(OR(B17="CAPEX",B17="ONE_OFF"),N(E17)=0),D17,0)</f>
        <v/>
      </c>
      <c r="H17" s="10">
        <f>IF(AND(B17="BENEFIT",F17="Yes"),D17,0)</f>
        <v/>
      </c>
      <c r="I17" s="10">
        <f>IF(OR(B17="OPEX",B17="RECURRING"),D17,0)</f>
        <v/>
      </c>
    </row>
    <row r="18">
      <c r="A18" s="12" t="inlineStr">
        <is>
          <t>Migration &amp; onboarding (build ring-fenced instance, migrate off the incumbent, tenant onboarding, integrations, training)</t>
        </is>
      </c>
      <c r="B18" s="12" t="inlineStr">
        <is>
          <t>ONE_OFF</t>
        </is>
      </c>
      <c r="C18" s="12" t="inlineStr">
        <is>
          <t>OTHER</t>
        </is>
      </c>
      <c r="D18" s="12" t="n">
        <v>420000</v>
      </c>
      <c r="E18" s="12" t="n">
        <v>0</v>
      </c>
      <c r="F18" s="12" t="inlineStr">
        <is>
          <t>No</t>
        </is>
      </c>
      <c r="G18" s="10">
        <f>IF(AND(OR(B18="CAPEX",B18="ONE_OFF"),N(E18)=0),D18,0)</f>
        <v/>
      </c>
      <c r="H18" s="10">
        <f>IF(AND(B18="BENEFIT",F18="Yes"),D18,0)</f>
        <v/>
      </c>
      <c r="I18" s="10">
        <f>IF(OR(B18="OPEX",B18="RECURRING"),D18,0)</f>
        <v/>
      </c>
    </row>
    <row r="19">
      <c r="G19" s="10">
        <f>IF(AND(OR(B19="CAPEX",B19="ONE_OFF"),N(E19)=0),D19,0)</f>
        <v/>
      </c>
      <c r="H19" s="10">
        <f>IF(AND(B19="BENEFIT",F19="Yes"),D19,0)</f>
        <v/>
      </c>
      <c r="I19" s="10">
        <f>IF(OR(B19="OPEX",B19="RECURRING"),D19,0)</f>
        <v/>
      </c>
    </row>
    <row r="20">
      <c r="G20" s="10">
        <f>IF(AND(OR(B20="CAPEX",B20="ONE_OFF"),N(E20)=0),D20,0)</f>
        <v/>
      </c>
      <c r="H20" s="10">
        <f>IF(AND(B20="BENEFIT",F20="Yes"),D20,0)</f>
        <v/>
      </c>
      <c r="I20" s="10">
        <f>IF(OR(B20="OPEX",B20="RECURRING"),D20,0)</f>
        <v/>
      </c>
    </row>
    <row r="21">
      <c r="G21" s="10">
        <f>IF(AND(OR(B21="CAPEX",B21="ONE_OFF"),N(E21)=0),D21,0)</f>
        <v/>
      </c>
      <c r="H21" s="10">
        <f>IF(AND(B21="BENEFIT",F21="Yes"),D21,0)</f>
        <v/>
      </c>
      <c r="I21" s="10">
        <f>IF(OR(B21="OPEX",B21="RECURRING"),D21,0)</f>
        <v/>
      </c>
    </row>
    <row r="22">
      <c r="G22" s="10">
        <f>IF(AND(OR(B22="CAPEX",B22="ONE_OFF"),N(E22)=0),D22,0)</f>
        <v/>
      </c>
      <c r="H22" s="10">
        <f>IF(AND(B22="BENEFIT",F22="Yes"),D22,0)</f>
        <v/>
      </c>
      <c r="I22" s="10">
        <f>IF(OR(B22="OPEX",B22="RECURRING"),D22,0)</f>
        <v/>
      </c>
    </row>
    <row r="23">
      <c r="G23" s="10">
        <f>IF(AND(OR(B23="CAPEX",B23="ONE_OFF"),N(E23)=0),D23,0)</f>
        <v/>
      </c>
      <c r="H23" s="10">
        <f>IF(AND(B23="BENEFIT",F23="Yes"),D23,0)</f>
        <v/>
      </c>
      <c r="I23" s="10">
        <f>IF(OR(B23="OPEX",B23="RECURRING"),D23,0)</f>
        <v/>
      </c>
    </row>
    <row r="24">
      <c r="G24" s="10">
        <f>IF(AND(OR(B24="CAPEX",B24="ONE_OFF"),N(E24)=0),D24,0)</f>
        <v/>
      </c>
      <c r="H24" s="10">
        <f>IF(AND(B24="BENEFIT",F24="Yes"),D24,0)</f>
        <v/>
      </c>
      <c r="I24" s="10">
        <f>IF(OR(B24="OPEX",B24="RECURRING"),D24,0)</f>
        <v/>
      </c>
    </row>
    <row r="25">
      <c r="A25" s="3" t="inlineStr">
        <is>
          <t>Totals</t>
        </is>
      </c>
      <c r="G25" s="10">
        <f>SUM(G11:G24)</f>
        <v/>
      </c>
      <c r="H25" s="10">
        <f>SUM(H11:H24)</f>
        <v/>
      </c>
      <c r="I25" s="10">
        <f>SUM(I11:I24)</f>
        <v/>
      </c>
    </row>
    <row r="26"/>
    <row r="27">
      <c r="A27" s="5" t="inlineStr">
        <is>
          <t>Results (indicative — the app is the source of truth)</t>
        </is>
      </c>
    </row>
    <row r="28">
      <c r="A28" s="3" t="inlineStr">
        <is>
          <t>Total investment</t>
        </is>
      </c>
      <c r="B28" s="10">
        <f>$G$25</f>
        <v/>
      </c>
    </row>
    <row r="29">
      <c r="A29" s="3" t="inlineStr">
        <is>
          <t>Annual net benefit</t>
        </is>
      </c>
      <c r="B29" s="10">
        <f>$H$25-$I$25</f>
        <v/>
      </c>
    </row>
    <row r="30">
      <c r="A30" s="3" t="inlineStr">
        <is>
          <t>ROI over horizon</t>
        </is>
      </c>
      <c r="B30" s="10">
        <f>IF($G$25=0,"",($B$29*$B$7-$G$25)/$G$25)</f>
        <v/>
      </c>
    </row>
    <row r="31">
      <c r="A31" s="3" t="inlineStr">
        <is>
          <t>Payback (months)</t>
        </is>
      </c>
      <c r="B31" s="10">
        <f>IF($B$29&lt;=0,"",$G$25/$B$29*12)</f>
        <v/>
      </c>
    </row>
    <row r="32">
      <c r="B32" s="9" t="inlineStr">
        <is>
          <t>Y0</t>
        </is>
      </c>
      <c r="C32" s="9" t="inlineStr">
        <is>
          <t>Y1</t>
        </is>
      </c>
      <c r="D32" s="9" t="inlineStr">
        <is>
          <t>Y2</t>
        </is>
      </c>
      <c r="E32" s="9" t="inlineStr">
        <is>
          <t>Y3</t>
        </is>
      </c>
      <c r="F32" s="9" t="inlineStr">
        <is>
          <t>Y4</t>
        </is>
      </c>
      <c r="G32" s="9" t="inlineStr">
        <is>
          <t>Y5</t>
        </is>
      </c>
    </row>
    <row r="33">
      <c r="A33" s="3" t="inlineStr">
        <is>
          <t>Net cash flow by year</t>
        </is>
      </c>
      <c r="B33" s="10">
        <f>-$G$25</f>
        <v/>
      </c>
      <c r="C33" s="10">
        <f>IF(1&lt;=$B$7,$B$29,0)</f>
        <v/>
      </c>
      <c r="D33" s="10">
        <f>IF(2&lt;=$B$7,$B$29,0)</f>
        <v/>
      </c>
      <c r="E33" s="10">
        <f>IF(3&lt;=$B$7,$B$29,0)</f>
        <v/>
      </c>
      <c r="F33" s="10">
        <f>IF(4&lt;=$B$7,$B$29,0)</f>
        <v/>
      </c>
      <c r="G33" s="10">
        <f>IF(5&lt;=$B$7,$B$29,0)</f>
        <v/>
      </c>
    </row>
    <row r="34"/>
    <row r="35">
      <c r="A35" s="3" t="inlineStr">
        <is>
          <t>NPV @ discount</t>
        </is>
      </c>
      <c r="B35" s="10">
        <f>B33+NPV($B$6,C33:G33)</f>
        <v/>
      </c>
    </row>
    <row r="36">
      <c r="A36" s="3" t="inlineStr">
        <is>
          <t>IRR</t>
        </is>
      </c>
      <c r="B36" s="10">
        <f>IFERROR(IRR(B33:G33),"n/a")</f>
        <v/>
      </c>
    </row>
  </sheetData>
  <dataValidations count="4">
    <dataValidation sqref="B11:B24" showDropDown="0" showInputMessage="0" showErrorMessage="0" allowBlank="1" type="list">
      <formula1>CostItemKind</formula1>
    </dataValidation>
    <dataValidation sqref="B5" showDropDown="0" showInputMessage="0" showErrorMessage="0" allowBlank="1" type="list">
      <formula1>Currencies</formula1>
    </dataValidation>
    <dataValidation sqref="C11:C24" showDropDown="0" showInputMessage="0" showErrorMessage="0" allowBlank="1" type="list">
      <formula1>BenefitCategory</formula1>
    </dataValidation>
    <dataValidation sqref="F11:F24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2" customWidth="1" min="3" max="5"/>
    <col width="14" customWidth="1" min="6" max="6"/>
    <col width="20" customWidth="1" min="7" max="7"/>
    <col width="16" customWidth="1" min="8" max="8"/>
  </cols>
  <sheetData>
    <row r="1">
      <c r="A1" s="1" t="inlineStr">
        <is>
          <t>9 · Handover pack</t>
        </is>
      </c>
    </row>
    <row r="2">
      <c r="A2" s="2" t="inlineStr">
        <is>
          <t>KPI definitions, baselines, success criteria, expected benefits handed to Value Realization.</t>
        </is>
      </c>
    </row>
    <row r="3"/>
    <row r="4">
      <c r="A4" s="5" t="inlineStr">
        <is>
          <t>KPIs &amp; baselines</t>
        </is>
      </c>
    </row>
    <row r="5">
      <c r="A5" s="6" t="inlineStr">
        <is>
          <t>KPI (pick)</t>
        </is>
      </c>
      <c r="B5" s="6" t="inlineStr">
        <is>
          <t>KPI key (auto)</t>
        </is>
      </c>
      <c r="C5" s="6" t="inlineStr">
        <is>
          <t>Baseline</t>
        </is>
      </c>
      <c r="D5" s="6" t="inlineStr">
        <is>
          <t>Target</t>
        </is>
      </c>
      <c r="E5" s="6" t="inlineStr">
        <is>
          <t>Unit (auto)</t>
        </is>
      </c>
      <c r="F5" s="6" t="inlineStr">
        <is>
          <t>Frequency</t>
        </is>
      </c>
      <c r="G5" s="6" t="inlineStr">
        <is>
          <t>Data source</t>
        </is>
      </c>
      <c r="H5" s="6" t="inlineStr">
        <is>
          <t>Owner</t>
        </is>
      </c>
    </row>
    <row r="6">
      <c r="A6" s="12" t="inlineStr">
        <is>
          <t>SLA attainment</t>
        </is>
      </c>
      <c r="B6" s="13" t="inlineStr">
        <is>
          <t>sla_attainment</t>
        </is>
      </c>
      <c r="C6" s="12" t="n">
        <v>90</v>
      </c>
      <c r="D6" s="12" t="n">
        <v>98</v>
      </c>
      <c r="E6" s="13" t="inlineStr">
        <is>
          <t>%</t>
        </is>
      </c>
      <c r="F6" s="12" t="inlineStr">
        <is>
          <t>Monthly</t>
        </is>
      </c>
      <c r="G6" s="12" t="inlineStr">
        <is>
          <t>Platform dashboards</t>
        </is>
      </c>
      <c r="H6" s="12" t="inlineStr">
        <is>
          <t>MSP Service Mgmt</t>
        </is>
      </c>
    </row>
    <row r="7">
      <c r="A7" s="12" t="inlineStr">
        <is>
          <t>Mean time to resolve (MTTR)</t>
        </is>
      </c>
      <c r="B7" s="13" t="inlineStr">
        <is>
          <t>mttr</t>
        </is>
      </c>
      <c r="C7" s="12" t="n">
        <v>7.5</v>
      </c>
      <c r="D7" s="12" t="n">
        <v>4.5</v>
      </c>
      <c r="E7" s="13" t="inlineStr">
        <is>
          <t>hours</t>
        </is>
      </c>
      <c r="F7" s="12" t="inlineStr">
        <is>
          <t>Monthly</t>
        </is>
      </c>
      <c r="G7" s="12" t="inlineStr">
        <is>
          <t>ITSM platform</t>
        </is>
      </c>
      <c r="H7" s="12" t="inlineStr">
        <is>
          <t>MSP Operations</t>
        </is>
      </c>
    </row>
    <row r="8">
      <c r="A8" s="12" t="inlineStr">
        <is>
          <t>Ticket deflection rate</t>
        </is>
      </c>
      <c r="B8" s="13" t="inlineStr">
        <is>
          <t>ticket_deflection</t>
        </is>
      </c>
      <c r="C8" s="12" t="n">
        <v>12</v>
      </c>
      <c r="D8" s="12" t="n">
        <v>35</v>
      </c>
      <c r="E8" s="13" t="inlineStr">
        <is>
          <t>%</t>
        </is>
      </c>
      <c r="F8" s="12" t="inlineStr">
        <is>
          <t>Monthly</t>
        </is>
      </c>
      <c r="G8" s="12" t="inlineStr">
        <is>
          <t>Self-service portal</t>
        </is>
      </c>
      <c r="H8" s="12" t="inlineStr">
        <is>
          <t>MSP Service Mgmt</t>
        </is>
      </c>
    </row>
    <row r="9">
      <c r="A9" s="12" t="inlineStr">
        <is>
          <t>First-contact resolution</t>
        </is>
      </c>
      <c r="B9" s="13" t="inlineStr">
        <is>
          <t>first_contact_resolution</t>
        </is>
      </c>
      <c r="C9" s="12" t="n">
        <v>58</v>
      </c>
      <c r="D9" s="12" t="n">
        <v>75</v>
      </c>
      <c r="E9" s="13" t="inlineStr">
        <is>
          <t>%</t>
        </is>
      </c>
      <c r="F9" s="12" t="inlineStr">
        <is>
          <t>Monthly</t>
        </is>
      </c>
      <c r="G9" s="12" t="inlineStr">
        <is>
          <t>ITSM platform</t>
        </is>
      </c>
      <c r="H9" s="12" t="inlineStr">
        <is>
          <t>Service Desk Lead</t>
        </is>
      </c>
    </row>
    <row r="10">
      <c r="B10" s="10">
        <f>IFERROR(INDEX(Reference!$A$5:$A$34,MATCH(A10,Reference!$B$5:$B$34,0)),"")</f>
        <v/>
      </c>
      <c r="E10" s="10">
        <f>IFERROR(INDEX(Reference!$C$5:$C$34,MATCH(A10,Reference!$B$5:$B$34,0)),"")</f>
        <v/>
      </c>
    </row>
    <row r="11">
      <c r="B11" s="10">
        <f>IFERROR(INDEX(Reference!$A$5:$A$34,MATCH(A11,Reference!$B$5:$B$34,0)),"")</f>
        <v/>
      </c>
      <c r="E11" s="10">
        <f>IFERROR(INDEX(Reference!$C$5:$C$34,MATCH(A11,Reference!$B$5:$B$34,0)),"")</f>
        <v/>
      </c>
    </row>
    <row r="12">
      <c r="B12" s="10">
        <f>IFERROR(INDEX(Reference!$A$5:$A$34,MATCH(A12,Reference!$B$5:$B$34,0)),"")</f>
        <v/>
      </c>
      <c r="E12" s="10">
        <f>IFERROR(INDEX(Reference!$C$5:$C$34,MATCH(A12,Reference!$B$5:$B$34,0)),"")</f>
        <v/>
      </c>
    </row>
    <row r="13">
      <c r="B13" s="10">
        <f>IFERROR(INDEX(Reference!$A$5:$A$34,MATCH(A13,Reference!$B$5:$B$34,0)),"")</f>
        <v/>
      </c>
      <c r="E13" s="10">
        <f>IFERROR(INDEX(Reference!$C$5:$C$34,MATCH(A13,Reference!$B$5:$B$34,0)),"")</f>
        <v/>
      </c>
    </row>
    <row r="14">
      <c r="B14" s="10">
        <f>IFERROR(INDEX(Reference!$A$5:$A$34,MATCH(A14,Reference!$B$5:$B$34,0)),"")</f>
        <v/>
      </c>
      <c r="E14" s="10">
        <f>IFERROR(INDEX(Reference!$C$5:$C$34,MATCH(A14,Reference!$B$5:$B$34,0)),"")</f>
        <v/>
      </c>
    </row>
    <row r="15">
      <c r="B15" s="10">
        <f>IFERROR(INDEX(Reference!$A$5:$A$34,MATCH(A15,Reference!$B$5:$B$34,0)),"")</f>
        <v/>
      </c>
      <c r="E15" s="10">
        <f>IFERROR(INDEX(Reference!$C$5:$C$34,MATCH(A15,Reference!$B$5:$B$34,0)),"")</f>
        <v/>
      </c>
    </row>
    <row r="16"/>
    <row r="17"/>
    <row r="18">
      <c r="A18" s="5" t="inlineStr">
        <is>
          <t>Success criteria &amp; expected benefits</t>
        </is>
      </c>
    </row>
    <row r="19">
      <c r="A19" s="6" t="inlineStr">
        <is>
          <t>Type</t>
        </is>
      </c>
      <c r="B19" s="6" t="inlineStr">
        <is>
          <t>Title</t>
        </is>
      </c>
      <c r="C19" s="6" t="inlineStr">
        <is>
          <t>Detail</t>
        </is>
      </c>
      <c r="D19" s="6" t="inlineStr">
        <is>
          <t>Planned value</t>
        </is>
      </c>
      <c r="E19" s="6" t="inlineStr">
        <is>
          <t>Category</t>
        </is>
      </c>
    </row>
    <row r="20">
      <c r="A20" s="12" t="inlineStr">
        <is>
          <t>EXPECTED_BENEFIT</t>
        </is>
      </c>
      <c r="B20" s="12" t="inlineStr">
        <is>
          <t>Net platform value</t>
        </is>
      </c>
      <c r="C20" s="12" t="inlineStr">
        <is>
          <t>Net annual value vs the self-managed incumbent</t>
        </is>
      </c>
      <c r="D20" s="12" t="n">
        <v>600000</v>
      </c>
      <c r="E20" s="12" t="inlineStr">
        <is>
          <t>COST_SAVING</t>
        </is>
      </c>
    </row>
    <row r="21">
      <c r="A21" s="12" t="inlineStr">
        <is>
          <t>BASELINE</t>
        </is>
      </c>
      <c r="B21" s="12" t="inlineStr">
        <is>
          <t>Incumbent run-rate</t>
        </is>
      </c>
      <c r="C21" s="12" t="inlineStr">
        <is>
          <t>Licence + self-hosting/admin ~$500k/yr</t>
        </is>
      </c>
      <c r="D21" s="12" t="n">
        <v>500000</v>
      </c>
      <c r="E21" s="12" t="inlineStr">
        <is>
          <t>COST_SAVING</t>
        </is>
      </c>
    </row>
    <row r="22">
      <c r="A22" s="12" t="inlineStr">
        <is>
          <t>SUCCESS_CRITERION</t>
        </is>
      </c>
      <c r="B22" s="12" t="inlineStr">
        <is>
          <t>Zero-disruption cutover</t>
        </is>
      </c>
      <c r="C22" s="12" t="inlineStr">
        <is>
          <t>Tenant-by-tenant migration with no SLA breach</t>
        </is>
      </c>
      <c r="D22" s="12" t="n">
        <v>0</v>
      </c>
      <c r="E22" s="12" t="inlineStr">
        <is>
          <t>QUALITY</t>
        </is>
      </c>
    </row>
    <row r="23">
      <c r="A23" s="12" t="inlineStr">
        <is>
          <t>MEASUREMENT_PLAN</t>
        </is>
      </c>
      <c r="B23" s="12" t="inlineStr">
        <is>
          <t>Multi-tenant value dashboard</t>
        </is>
      </c>
      <c r="C23" s="12" t="inlineStr">
        <is>
          <t>Per-tenant SLA, deflection, MTTR &amp; platform cost tracked monthly</t>
        </is>
      </c>
      <c r="D23" s="12" t="n">
        <v>0</v>
      </c>
      <c r="E23" s="12" t="inlineStr">
        <is>
          <t>RELIABILITY</t>
        </is>
      </c>
    </row>
  </sheetData>
  <dataValidations count="4">
    <dataValidation sqref="A10:A15" showDropDown="0" showInputMessage="0" showErrorMessage="0" allowBlank="1" type="list">
      <formula1>KpiNames</formula1>
    </dataValidation>
    <dataValidation sqref="A20:A27" showDropDown="0" showInputMessage="0" showErrorMessage="0" allowBlank="1" type="list">
      <formula1>ArtifactType</formula1>
    </dataValidation>
    <dataValidation sqref="A6:A15" showDropDown="0" showInputMessage="0" showErrorMessage="0" allowBlank="1" type="list">
      <formula1>KpiNames</formula1>
    </dataValidation>
    <dataValidation sqref="E20:E27" showDropDown="0" showInputMessage="0" showErrorMessage="0" allowBlank="1" type="list">
      <formula1>BenefitCategory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14" customWidth="1" min="2" max="2"/>
    <col width="12" customWidth="1" min="3" max="4"/>
    <col width="34" customWidth="1" min="5" max="5"/>
    <col width="14" customWidth="1" min="6" max="6"/>
  </cols>
  <sheetData>
    <row r="1">
      <c r="A1" s="1" t="inlineStr">
        <is>
          <t>10 · Risk register</t>
        </is>
      </c>
    </row>
    <row r="2">
      <c r="A2" s="2" t="inlineStr">
        <is>
          <t>Risks to the value case.</t>
        </is>
      </c>
    </row>
    <row r="3"/>
    <row r="4">
      <c r="A4" s="6" t="inlineStr">
        <is>
          <t>Risk / description</t>
        </is>
      </c>
      <c r="B4" s="6" t="inlineStr">
        <is>
          <t>Likelihood (1–5)</t>
        </is>
      </c>
      <c r="C4" s="6" t="inlineStr">
        <is>
          <t>Impact (1–5)</t>
        </is>
      </c>
      <c r="D4" s="6" t="inlineStr">
        <is>
          <t>Score (auto)</t>
        </is>
      </c>
      <c r="E4" s="6" t="inlineStr">
        <is>
          <t>Mitigation</t>
        </is>
      </c>
      <c r="F4" s="6" t="inlineStr">
        <is>
          <t>Status</t>
        </is>
      </c>
    </row>
    <row r="5">
      <c r="A5" s="12" t="inlineStr">
        <is>
          <t>Tenant data-migration complexity (incumbent → new platform, per-tenant isolation)</t>
        </is>
      </c>
      <c r="B5" s="12" t="n">
        <v>3</v>
      </c>
      <c r="C5" s="12" t="n">
        <v>4</v>
      </c>
      <c r="D5" s="10">
        <f>IFERROR(B5*C5,"")</f>
        <v/>
      </c>
      <c r="E5" s="12" t="inlineStr">
        <is>
          <t>Phased tenant-by-tenant migration; ETL; parallel run; partner-led</t>
        </is>
      </c>
      <c r="F5" s="12" t="inlineStr">
        <is>
          <t>OPEN</t>
        </is>
      </c>
    </row>
    <row r="6">
      <c r="A6" s="12" t="inlineStr">
        <is>
          <t>Cross-tenant data exposure via multi-tenancy misconfiguration (data-residency / sovereignty)</t>
        </is>
      </c>
      <c r="B6" s="12" t="n">
        <v>2</v>
      </c>
      <c r="C6" s="12" t="n">
        <v>5</v>
      </c>
      <c r="D6" s="10">
        <f>IFERROR(B6*C6,"")</f>
        <v/>
      </c>
      <c r="E6" s="12" t="inlineStr">
        <is>
          <t>Ring-fenced instance; strict tenant isolation; partner-managed; data-residency controls</t>
        </is>
      </c>
      <c r="F6" s="12" t="inlineStr">
        <is>
          <t>OPEN</t>
        </is>
      </c>
    </row>
    <row r="7">
      <c r="A7" s="12" t="inlineStr">
        <is>
          <t>SLA disruption during cutover on live managed-services contracts</t>
        </is>
      </c>
      <c r="B7" s="12" t="n">
        <v>2</v>
      </c>
      <c r="C7" s="12" t="n">
        <v>4</v>
      </c>
      <c r="D7" s="10">
        <f>IFERROR(B7*C7,"")</f>
        <v/>
      </c>
      <c r="E7" s="12" t="inlineStr">
        <is>
          <t>Tenant-by-tenant cutover, parallel run, rollback; SLA monitoring</t>
        </is>
      </c>
      <c r="F7" s="12" t="inlineStr">
        <is>
          <t>OPEN</t>
        </is>
      </c>
    </row>
    <row r="8">
      <c r="A8" s="12" t="inlineStr">
        <is>
          <t>Higher recurring cost vs the incumbent not offset by realised productivity</t>
        </is>
      </c>
      <c r="B8" s="12" t="n">
        <v>3</v>
      </c>
      <c r="C8" s="12" t="n">
        <v>3</v>
      </c>
      <c r="D8" s="10">
        <f>IFERROR(B8*C8,"")</f>
        <v/>
      </c>
      <c r="E8" s="12" t="inlineStr">
        <is>
          <t>Track productivity &amp; FTE-offload benefits quarterly on the value dashboard</t>
        </is>
      </c>
      <c r="F8" s="12" t="inlineStr">
        <is>
          <t>OPEN</t>
        </is>
      </c>
    </row>
    <row r="9">
      <c r="A9" s="12" t="inlineStr">
        <is>
          <t>Analyst adoption / change vs the familiar incumbent UI</t>
        </is>
      </c>
      <c r="B9" s="12" t="n">
        <v>3</v>
      </c>
      <c r="C9" s="12" t="n">
        <v>3</v>
      </c>
      <c r="D9" s="10">
        <f>IFERROR(B9*C9,"")</f>
        <v/>
      </c>
      <c r="E9" s="12" t="inlineStr">
        <is>
          <t>GenAI virtual agent + digital-workplace UX; training; champion network</t>
        </is>
      </c>
      <c r="F9" s="12" t="inlineStr">
        <is>
          <t>OPEN</t>
        </is>
      </c>
    </row>
    <row r="10">
      <c r="A10" s="12" t="inlineStr">
        <is>
          <t>Integration rebuild (directory/SSO, email, monitoring) slips</t>
        </is>
      </c>
      <c r="B10" s="12" t="n">
        <v>3</v>
      </c>
      <c r="C10" s="12" t="n">
        <v>3</v>
      </c>
      <c r="D10" s="10">
        <f>IFERROR(B10*C10,"")</f>
        <v/>
      </c>
      <c r="E10" s="12" t="inlineStr">
        <is>
          <t>Prioritise top integrations; iPaaS/REST; phased</t>
        </is>
      </c>
      <c r="F10" s="12" t="inlineStr">
        <is>
          <t>OPEN</t>
        </is>
      </c>
    </row>
    <row r="11">
      <c r="D11" s="10">
        <f>IFERROR(B11*C11,"")</f>
        <v/>
      </c>
    </row>
    <row r="12">
      <c r="D12" s="10">
        <f>IFERROR(B12*C12,"")</f>
        <v/>
      </c>
    </row>
    <row r="13">
      <c r="D13" s="10">
        <f>IFERROR(B13*C13,"")</f>
        <v/>
      </c>
    </row>
    <row r="14">
      <c r="D14" s="10">
        <f>IFERROR(B14*C14,"")</f>
        <v/>
      </c>
    </row>
    <row r="15">
      <c r="D15" s="10">
        <f>IFERROR(B15*C15,"")</f>
        <v/>
      </c>
    </row>
    <row r="16">
      <c r="D16" s="10">
        <f>IFERROR(B16*C16,"")</f>
        <v/>
      </c>
    </row>
    <row r="17">
      <c r="D17" s="10">
        <f>IFERROR(B17*C17,"")</f>
        <v/>
      </c>
    </row>
  </sheetData>
  <dataValidations count="4">
    <dataValidation sqref="B10:C17" showDropDown="0" showInputMessage="0" showErrorMessage="0" allowBlank="1" type="list">
      <formula1>Scale</formula1>
    </dataValidation>
    <dataValidation sqref="B5:C17" showDropDown="0" showInputMessage="0" showErrorMessage="0" allowBlank="1" type="list">
      <formula1>Scale</formula1>
    </dataValidation>
    <dataValidation sqref="F10:F17" showDropDown="0" showInputMessage="0" showErrorMessage="0" allowBlank="1" type="list">
      <formula1>RiskStatus</formula1>
    </dataValidation>
    <dataValidation sqref="F5:F17" showDropDown="0" showInputMessage="0" showErrorMessage="0" allowBlank="1" type="list">
      <formula1>RiskStatus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 Lifecycle Platform</dc:creator>
  <dcterms:created xmlns:dcterms="http://purl.org/dc/terms/" xmlns:xsi="http://www.w3.org/2001/XMLSchema-instance" xsi:type="dcterms:W3CDTF">2026-09-16T06:18:33Z</dcterms:created>
  <dcterms:modified xmlns:dcterms="http://purl.org/dc/terms/" xmlns:xsi="http://www.w3.org/2001/XMLSchema-instance" xsi:type="dcterms:W3CDTF">2026-09-16T11:44:23Z</dcterms:modified>
  <cp:lastModifiedBy>Unknown</cp:lastModifiedBy>
</cp:coreProperties>
</file>